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mc:AlternateContent xmlns:mc="http://schemas.openxmlformats.org/markup-compatibility/2006">
    <mc:Choice Requires="x15">
      <x15ac:absPath xmlns:x15ac="http://schemas.microsoft.com/office/spreadsheetml/2010/11/ac" url="C:\Users\muazm\Downloads\"/>
    </mc:Choice>
  </mc:AlternateContent>
  <xr:revisionPtr revIDLastSave="0" documentId="8_{4B110816-5DF1-4853-8786-9491ED140837}" xr6:coauthVersionLast="47" xr6:coauthVersionMax="47" xr10:uidLastSave="{00000000-0000-0000-0000-000000000000}"/>
  <bookViews>
    <workbookView xWindow="-96" yWindow="0" windowWidth="11712" windowHeight="12336" firstSheet="7" activeTab="7" xr2:uid="{00000000-000D-0000-FFFF-FFFF00000000}"/>
  </bookViews>
  <sheets>
    <sheet name="99_Lookups" sheetId="1" r:id="rId1"/>
    <sheet name="00_Dashboard" sheetId="2" r:id="rId2"/>
    <sheet name="01_Scope_Context" sheetId="3" r:id="rId3"/>
    <sheet name="02_Assetregister" sheetId="4" r:id="rId4"/>
    <sheet name="03_Kroonjuwelen" sheetId="5" r:id="rId5"/>
    <sheet name="04_Wetgeving_Risicos" sheetId="6" r:id="rId6"/>
    <sheet name="05_Ketenanalyse" sheetId="7" r:id="rId7"/>
    <sheet name="06_Risicoregister" sheetId="8" r:id="rId8"/>
    <sheet name="07_Risicomatrix" sheetId="9" r:id="rId9"/>
    <sheet name="08_Scenarioanalyse" sheetId="10" r:id="rId10"/>
    <sheet name="09_Top5_Risicos" sheetId="11" r:id="rId11"/>
    <sheet name="10_Maatregelenplan" sheetId="12" r:id="rId12"/>
    <sheet name="11_Roadmap" sheetId="13" r:id="rId13"/>
    <sheet name="12_Reflectie" sheetId="14" r:id="rId1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3" i="8" l="1"/>
  <c r="L13" i="8"/>
  <c r="D6" i="9"/>
  <c r="A2" i="8"/>
  <c r="L5" i="8"/>
  <c r="L6" i="8"/>
  <c r="L7" i="8"/>
  <c r="L8" i="8"/>
  <c r="L9" i="8"/>
  <c r="L10" i="8"/>
  <c r="L12" i="8"/>
  <c r="K3" i="8"/>
  <c r="L3" i="8" s="1"/>
  <c r="K4" i="8"/>
  <c r="L4" i="8" s="1"/>
  <c r="K5" i="8"/>
  <c r="K6" i="8"/>
  <c r="K7" i="8"/>
  <c r="K8" i="8"/>
  <c r="K9" i="8"/>
  <c r="K10" i="8"/>
  <c r="K11" i="8"/>
  <c r="L11" i="8" s="1"/>
  <c r="K12" i="8"/>
  <c r="K2" i="8"/>
  <c r="L2"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K135" i="8"/>
  <c r="K136" i="8"/>
  <c r="K137" i="8"/>
  <c r="K138" i="8"/>
  <c r="K139" i="8"/>
  <c r="K140" i="8"/>
  <c r="K141" i="8"/>
  <c r="K142" i="8"/>
  <c r="K143" i="8"/>
  <c r="K144" i="8"/>
  <c r="K145" i="8"/>
  <c r="K146" i="8"/>
  <c r="K147" i="8"/>
  <c r="K148" i="8"/>
  <c r="K149" i="8"/>
  <c r="K150" i="8"/>
  <c r="K151" i="8"/>
  <c r="K152" i="8"/>
  <c r="K153" i="8"/>
  <c r="K154" i="8"/>
  <c r="K155" i="8"/>
  <c r="K156" i="8"/>
  <c r="K157" i="8"/>
  <c r="K158" i="8"/>
  <c r="K159" i="8"/>
  <c r="K160" i="8"/>
  <c r="K161" i="8"/>
  <c r="K162" i="8"/>
  <c r="K163" i="8"/>
  <c r="K164" i="8"/>
  <c r="K165" i="8"/>
  <c r="K166" i="8"/>
  <c r="K167" i="8"/>
  <c r="K168" i="8"/>
  <c r="K169" i="8"/>
  <c r="K170" i="8"/>
  <c r="K171" i="8"/>
  <c r="K172" i="8"/>
  <c r="K173" i="8"/>
  <c r="K174" i="8"/>
  <c r="K175" i="8"/>
  <c r="K176" i="8"/>
  <c r="K177" i="8"/>
  <c r="K178" i="8"/>
  <c r="K179" i="8"/>
  <c r="K180" i="8"/>
  <c r="K181" i="8"/>
  <c r="K182" i="8"/>
  <c r="K183" i="8"/>
  <c r="K184" i="8"/>
  <c r="K185" i="8"/>
  <c r="K186" i="8"/>
  <c r="K187" i="8"/>
  <c r="K188" i="8"/>
  <c r="K189" i="8"/>
  <c r="K190" i="8"/>
  <c r="K191" i="8"/>
  <c r="K192" i="8"/>
  <c r="K193" i="8"/>
  <c r="K194" i="8"/>
  <c r="K195" i="8"/>
  <c r="K196" i="8"/>
  <c r="K197" i="8"/>
  <c r="K198" i="8"/>
  <c r="K199" i="8"/>
  <c r="K200" i="8"/>
  <c r="C3" i="11"/>
  <c r="C6" i="11"/>
  <c r="C5" i="11"/>
  <c r="C4" i="11"/>
  <c r="C2" i="11"/>
  <c r="C6" i="9"/>
  <c r="B6" i="9"/>
  <c r="D5" i="9"/>
  <c r="C5" i="9"/>
  <c r="B5" i="9"/>
  <c r="D4" i="9"/>
  <c r="C4" i="9"/>
  <c r="B4" i="9"/>
  <c r="K201" i="8"/>
  <c r="L201" i="8"/>
  <c r="A201" i="8"/>
  <c r="L200" i="8"/>
  <c r="A200" i="8"/>
  <c r="L199" i="8"/>
  <c r="A199" i="8"/>
  <c r="L198" i="8"/>
  <c r="A198" i="8"/>
  <c r="L197" i="8"/>
  <c r="A197" i="8"/>
  <c r="L196" i="8"/>
  <c r="A196" i="8"/>
  <c r="L195" i="8"/>
  <c r="A195" i="8"/>
  <c r="L194" i="8"/>
  <c r="A194" i="8"/>
  <c r="L193" i="8"/>
  <c r="A193" i="8"/>
  <c r="L192" i="8"/>
  <c r="A192" i="8"/>
  <c r="L191" i="8"/>
  <c r="A191" i="8"/>
  <c r="L190" i="8"/>
  <c r="A190" i="8"/>
  <c r="L189" i="8"/>
  <c r="A189" i="8"/>
  <c r="L188" i="8"/>
  <c r="A188" i="8"/>
  <c r="L187" i="8"/>
  <c r="A187" i="8"/>
  <c r="L186" i="8"/>
  <c r="A186" i="8"/>
  <c r="L185" i="8"/>
  <c r="A185" i="8"/>
  <c r="L184" i="8"/>
  <c r="A184" i="8"/>
  <c r="L183" i="8"/>
  <c r="A183" i="8"/>
  <c r="L182" i="8"/>
  <c r="A182" i="8"/>
  <c r="L181" i="8"/>
  <c r="A181" i="8"/>
  <c r="L180" i="8"/>
  <c r="A180" i="8"/>
  <c r="L179" i="8"/>
  <c r="A179" i="8"/>
  <c r="L178" i="8"/>
  <c r="A178" i="8"/>
  <c r="L177" i="8"/>
  <c r="A177" i="8"/>
  <c r="L176" i="8"/>
  <c r="A176" i="8"/>
  <c r="L175" i="8"/>
  <c r="A175" i="8"/>
  <c r="L174" i="8"/>
  <c r="A174" i="8"/>
  <c r="L173" i="8"/>
  <c r="A173" i="8"/>
  <c r="L172" i="8"/>
  <c r="A172" i="8"/>
  <c r="L171" i="8"/>
  <c r="A171" i="8"/>
  <c r="L170" i="8"/>
  <c r="A170" i="8"/>
  <c r="L169" i="8"/>
  <c r="A169" i="8"/>
  <c r="L168" i="8"/>
  <c r="A168" i="8"/>
  <c r="L167" i="8"/>
  <c r="A167" i="8"/>
  <c r="L166" i="8"/>
  <c r="A166" i="8"/>
  <c r="L165" i="8"/>
  <c r="A165" i="8"/>
  <c r="L164" i="8"/>
  <c r="A164" i="8"/>
  <c r="L163" i="8"/>
  <c r="A163" i="8"/>
  <c r="L162" i="8"/>
  <c r="A162" i="8"/>
  <c r="L161" i="8"/>
  <c r="A161" i="8"/>
  <c r="L160" i="8"/>
  <c r="A160" i="8"/>
  <c r="L159" i="8"/>
  <c r="A159" i="8"/>
  <c r="L158" i="8"/>
  <c r="A158" i="8"/>
  <c r="L157" i="8"/>
  <c r="A157" i="8"/>
  <c r="L156" i="8"/>
  <c r="A156" i="8"/>
  <c r="L155" i="8"/>
  <c r="A155" i="8"/>
  <c r="L154" i="8"/>
  <c r="A154" i="8"/>
  <c r="L153" i="8"/>
  <c r="A153" i="8"/>
  <c r="L152" i="8"/>
  <c r="A152" i="8"/>
  <c r="L151" i="8"/>
  <c r="A151" i="8"/>
  <c r="L150" i="8"/>
  <c r="A150" i="8"/>
  <c r="L149" i="8"/>
  <c r="A149" i="8"/>
  <c r="L148" i="8"/>
  <c r="A148" i="8"/>
  <c r="L147" i="8"/>
  <c r="A147" i="8"/>
  <c r="L146" i="8"/>
  <c r="A146" i="8"/>
  <c r="L145" i="8"/>
  <c r="A145" i="8"/>
  <c r="L144" i="8"/>
  <c r="A144" i="8"/>
  <c r="L143" i="8"/>
  <c r="A143" i="8"/>
  <c r="L142" i="8"/>
  <c r="A142" i="8"/>
  <c r="L141" i="8"/>
  <c r="A141" i="8"/>
  <c r="L140" i="8"/>
  <c r="A140" i="8"/>
  <c r="L139" i="8"/>
  <c r="A139" i="8"/>
  <c r="L138" i="8"/>
  <c r="A138" i="8"/>
  <c r="L137" i="8"/>
  <c r="A137" i="8"/>
  <c r="L136" i="8"/>
  <c r="A136" i="8"/>
  <c r="L135" i="8"/>
  <c r="A135" i="8"/>
  <c r="L134" i="8"/>
  <c r="A134" i="8"/>
  <c r="L133" i="8"/>
  <c r="A133" i="8"/>
  <c r="L132" i="8"/>
  <c r="A132" i="8"/>
  <c r="L131" i="8"/>
  <c r="A131" i="8"/>
  <c r="L130" i="8"/>
  <c r="A130" i="8"/>
  <c r="L129" i="8"/>
  <c r="A129" i="8"/>
  <c r="L128" i="8"/>
  <c r="A128" i="8"/>
  <c r="L127" i="8"/>
  <c r="A127" i="8"/>
  <c r="L126" i="8"/>
  <c r="A126" i="8"/>
  <c r="L125" i="8"/>
  <c r="A125" i="8"/>
  <c r="L124" i="8"/>
  <c r="A124" i="8"/>
  <c r="L123" i="8"/>
  <c r="A123" i="8"/>
  <c r="L122" i="8"/>
  <c r="A122" i="8"/>
  <c r="L121" i="8"/>
  <c r="A121" i="8"/>
  <c r="L120" i="8"/>
  <c r="A120" i="8"/>
  <c r="L119" i="8"/>
  <c r="A119" i="8"/>
  <c r="L118" i="8"/>
  <c r="A118" i="8"/>
  <c r="L117" i="8"/>
  <c r="A117" i="8"/>
  <c r="L116" i="8"/>
  <c r="A116" i="8"/>
  <c r="L115" i="8"/>
  <c r="A115" i="8"/>
  <c r="L114" i="8"/>
  <c r="A114" i="8"/>
  <c r="L113" i="8"/>
  <c r="A113" i="8"/>
  <c r="L112" i="8"/>
  <c r="A112" i="8"/>
  <c r="L111" i="8"/>
  <c r="A111" i="8"/>
  <c r="L110" i="8"/>
  <c r="A110" i="8"/>
  <c r="L109" i="8"/>
  <c r="A109" i="8"/>
  <c r="L108" i="8"/>
  <c r="A108" i="8"/>
  <c r="L107" i="8"/>
  <c r="A107" i="8"/>
  <c r="L106" i="8"/>
  <c r="A106" i="8"/>
  <c r="L105" i="8"/>
  <c r="A105" i="8"/>
  <c r="L104" i="8"/>
  <c r="A104" i="8"/>
  <c r="L103" i="8"/>
  <c r="A103" i="8"/>
  <c r="L102" i="8"/>
  <c r="A102" i="8"/>
  <c r="L101" i="8"/>
  <c r="A101" i="8"/>
  <c r="L100" i="8"/>
  <c r="A100" i="8"/>
  <c r="L99" i="8"/>
  <c r="A99" i="8"/>
  <c r="L98" i="8"/>
  <c r="A98" i="8"/>
  <c r="L97" i="8"/>
  <c r="A97" i="8"/>
  <c r="L96" i="8"/>
  <c r="A96" i="8"/>
  <c r="L95" i="8"/>
  <c r="A95" i="8"/>
  <c r="L94" i="8"/>
  <c r="A94" i="8"/>
  <c r="L93" i="8"/>
  <c r="A93" i="8"/>
  <c r="L92" i="8"/>
  <c r="A92" i="8"/>
  <c r="L91" i="8"/>
  <c r="A91" i="8"/>
  <c r="L90" i="8"/>
  <c r="A90" i="8"/>
  <c r="L89" i="8"/>
  <c r="A89" i="8"/>
  <c r="L88" i="8"/>
  <c r="A88" i="8"/>
  <c r="L87" i="8"/>
  <c r="A87" i="8"/>
  <c r="L86" i="8"/>
  <c r="A86" i="8"/>
  <c r="L85" i="8"/>
  <c r="A85" i="8"/>
  <c r="L84" i="8"/>
  <c r="A84" i="8"/>
  <c r="L83" i="8"/>
  <c r="A83" i="8"/>
  <c r="L82" i="8"/>
  <c r="A82" i="8"/>
  <c r="L81" i="8"/>
  <c r="A81" i="8"/>
  <c r="L80" i="8"/>
  <c r="A80" i="8"/>
  <c r="L79" i="8"/>
  <c r="A79" i="8"/>
  <c r="L78" i="8"/>
  <c r="A78" i="8"/>
  <c r="L77" i="8"/>
  <c r="A77" i="8"/>
  <c r="L76" i="8"/>
  <c r="A76" i="8"/>
  <c r="L75" i="8"/>
  <c r="A75" i="8"/>
  <c r="L74" i="8"/>
  <c r="A74" i="8"/>
  <c r="L73" i="8"/>
  <c r="A73" i="8"/>
  <c r="L72" i="8"/>
  <c r="A72" i="8"/>
  <c r="L71" i="8"/>
  <c r="A71" i="8"/>
  <c r="L70" i="8"/>
  <c r="A70" i="8"/>
  <c r="L69" i="8"/>
  <c r="A69" i="8"/>
  <c r="L68" i="8"/>
  <c r="A68" i="8"/>
  <c r="L67" i="8"/>
  <c r="A67" i="8"/>
  <c r="L66" i="8"/>
  <c r="A66" i="8"/>
  <c r="L65" i="8"/>
  <c r="A65" i="8"/>
  <c r="L64" i="8"/>
  <c r="A64" i="8"/>
  <c r="L63" i="8"/>
  <c r="A63" i="8"/>
  <c r="L62" i="8"/>
  <c r="A62" i="8"/>
  <c r="L61" i="8"/>
  <c r="A61" i="8"/>
  <c r="L60" i="8"/>
  <c r="A60" i="8"/>
  <c r="L59" i="8"/>
  <c r="A59" i="8"/>
  <c r="L58" i="8"/>
  <c r="A58" i="8"/>
  <c r="L57" i="8"/>
  <c r="A57" i="8"/>
  <c r="L56" i="8"/>
  <c r="A56" i="8"/>
  <c r="L55" i="8"/>
  <c r="A55" i="8"/>
  <c r="L54" i="8"/>
  <c r="A54" i="8"/>
  <c r="L53" i="8"/>
  <c r="A53" i="8"/>
  <c r="L52" i="8"/>
  <c r="A52" i="8"/>
  <c r="L51" i="8"/>
  <c r="A51" i="8"/>
  <c r="L50" i="8"/>
  <c r="A50" i="8"/>
  <c r="L49" i="8"/>
  <c r="A49" i="8"/>
  <c r="L48" i="8"/>
  <c r="A48" i="8"/>
  <c r="L47" i="8"/>
  <c r="A47" i="8"/>
  <c r="L46" i="8"/>
  <c r="A46" i="8"/>
  <c r="L45" i="8"/>
  <c r="A45" i="8"/>
  <c r="L44" i="8"/>
  <c r="A44" i="8"/>
  <c r="L43" i="8"/>
  <c r="A43" i="8"/>
  <c r="L42" i="8"/>
  <c r="A42" i="8"/>
  <c r="L41" i="8"/>
  <c r="A41" i="8"/>
  <c r="L40" i="8"/>
  <c r="A40" i="8"/>
  <c r="L39" i="8"/>
  <c r="A39" i="8"/>
  <c r="L38" i="8"/>
  <c r="A38" i="8"/>
  <c r="L37" i="8"/>
  <c r="A37" i="8"/>
  <c r="L36" i="8"/>
  <c r="A36" i="8"/>
  <c r="L35" i="8"/>
  <c r="A35" i="8"/>
  <c r="L34" i="8"/>
  <c r="A34" i="8"/>
  <c r="L33" i="8"/>
  <c r="A33" i="8"/>
  <c r="L32" i="8"/>
  <c r="A32" i="8"/>
  <c r="L31" i="8"/>
  <c r="A31" i="8"/>
  <c r="L30" i="8"/>
  <c r="A30" i="8"/>
  <c r="L29" i="8"/>
  <c r="A29" i="8"/>
  <c r="L28" i="8"/>
  <c r="A28" i="8"/>
  <c r="L27" i="8"/>
  <c r="A27" i="8"/>
  <c r="L26" i="8"/>
  <c r="A26" i="8"/>
  <c r="L25" i="8"/>
  <c r="A25" i="8"/>
  <c r="L24" i="8"/>
  <c r="A24" i="8"/>
  <c r="L23" i="8"/>
  <c r="A23" i="8"/>
  <c r="L22" i="8"/>
  <c r="A22" i="8"/>
  <c r="L21" i="8"/>
  <c r="A21" i="8"/>
  <c r="L20" i="8"/>
  <c r="A20" i="8"/>
  <c r="L19" i="8"/>
  <c r="A19" i="8"/>
  <c r="L18" i="8"/>
  <c r="A18" i="8"/>
  <c r="L17" i="8"/>
  <c r="A17" i="8"/>
  <c r="L16" i="8"/>
  <c r="A16" i="8"/>
  <c r="L15" i="8"/>
  <c r="A15" i="8"/>
  <c r="L14" i="8"/>
  <c r="A14" i="8"/>
  <c r="A13" i="8"/>
  <c r="A12" i="8"/>
  <c r="A11" i="8"/>
  <c r="A10" i="8"/>
  <c r="A9" i="8"/>
  <c r="A8" i="8"/>
  <c r="A7" i="8"/>
  <c r="A6" i="8"/>
  <c r="A5" i="8"/>
  <c r="A4" i="8"/>
  <c r="A3" i="8"/>
  <c r="B3" i="11"/>
  <c r="D3" i="11" s="1"/>
  <c r="B10" i="2"/>
  <c r="B8" i="2"/>
  <c r="B7" i="2"/>
  <c r="B6" i="2"/>
  <c r="B5" i="2"/>
  <c r="B2" i="11" l="1"/>
  <c r="B4" i="11"/>
  <c r="D4" i="11" s="1"/>
  <c r="B5" i="11"/>
  <c r="D5" i="11" s="1"/>
  <c r="B6" i="11"/>
  <c r="D6" i="11" s="1"/>
  <c r="D2" i="11" l="1"/>
  <c r="B9" i="2"/>
</calcChain>
</file>

<file path=xl/sharedStrings.xml><?xml version="1.0" encoding="utf-8"?>
<sst xmlns="http://schemas.openxmlformats.org/spreadsheetml/2006/main" count="1303" uniqueCount="358">
  <si>
    <t>Level</t>
  </si>
  <si>
    <t>Num</t>
  </si>
  <si>
    <t>L</t>
  </si>
  <si>
    <t>M</t>
  </si>
  <si>
    <t>H</t>
  </si>
  <si>
    <t>Vanguard Healthcare – Risicoanalyse (AD Cybersecurity) – Dashboard</t>
  </si>
  <si>
    <t>Voortgang &amp; KPI's</t>
  </si>
  <si>
    <t>Metric</t>
  </si>
  <si>
    <t>Waarde</t>
  </si>
  <si>
    <t>Aantal assets (02_Assetregister)</t>
  </si>
  <si>
    <t>Aantal risico's (06_Risicoregister)</t>
  </si>
  <si>
    <t>Aantal Hoog risico</t>
  </si>
  <si>
    <t>Aantal scenario's (08_Scenarioanalyse)</t>
  </si>
  <si>
    <t>Top-5 ingevuld (09_Top5_Risicos)</t>
  </si>
  <si>
    <t>Maatregelen ingevuld (10_Maatregelenplan)</t>
  </si>
  <si>
    <t>Veld</t>
  </si>
  <si>
    <t>In te vullen door student</t>
  </si>
  <si>
    <t>Organisatienaam</t>
  </si>
  <si>
    <t>Vanguard Healthcare</t>
  </si>
  <si>
    <t>Doel risicoanalyse</t>
  </si>
  <si>
    <t xml:space="preserve">Het doel van de risicoanalyse is het in kaart brengen van de belangrijkste cyber kwetsbaarheden voor Vanguard Healthcare, de aantoonbaarheid van de kwetsbaarheden zorgt ervoor dat er actie ondernomen kan worden tot het verbeteren van patiëntveiligheid, continuïtteit van Zorg en naleving van AVG/NIS2. </t>
  </si>
  <si>
    <t>Scope (in scope)</t>
  </si>
  <si>
    <r>
      <rPr>
        <b/>
        <sz val="11"/>
        <color rgb="FF0000FF"/>
        <rFont val="Calibri"/>
      </rPr>
      <t>Menselijke laag:</t>
    </r>
    <r>
      <rPr>
        <sz val="11"/>
        <color rgb="FF0000FF"/>
        <rFont val="Calibri"/>
      </rPr>
      <t xml:space="preserve"> gedrag, bewustzijn, kennis en vaardigheden van medewerkers, naleving van procedures, rollen, verantwoordelijkheden en autorisaties.</t>
    </r>
    <r>
      <rPr>
        <b/>
        <sz val="11"/>
        <color rgb="FF0000FF"/>
        <rFont val="Calibri"/>
      </rPr>
      <t xml:space="preserve"> Bedrijfsprocessenlaag:</t>
    </r>
    <r>
      <rPr>
        <sz val="11"/>
        <color rgb="FF0000FF"/>
        <rFont val="Calibri"/>
      </rPr>
      <t xml:space="preserve"> inrichting en uitvoering van zorg- en ondersteunende processen, taakverdeling, functiescheiding en onderlinge afhankelijkheden. </t>
    </r>
    <r>
      <rPr>
        <b/>
        <sz val="11"/>
        <color rgb="FF0000FF"/>
        <rFont val="Calibri"/>
      </rPr>
      <t>Informatie-, data- en applicatielaag:</t>
    </r>
    <r>
      <rPr>
        <sz val="11"/>
        <color rgb="FF0000FF"/>
        <rFont val="Calibri"/>
      </rPr>
      <t xml:space="preserve"> gebruik en beheer van EZPD, Vanguard Connect, DLO, HR &amp; Planning en Financiën &amp; Declaraties, inclusief datastromen, autorisaties en informatiebeveiliging. </t>
    </r>
    <r>
      <rPr>
        <b/>
        <sz val="11"/>
        <color rgb="FF0000FF"/>
        <rFont val="Calibri"/>
      </rPr>
      <t>Infrastructuurlaag:</t>
    </r>
    <r>
      <rPr>
        <sz val="11"/>
        <color rgb="FF0000FF"/>
        <rFont val="Calibri"/>
      </rPr>
      <t xml:space="preserve"> netwerken, servers, cloudvoorzieningen, werkplekken, identity &amp; access management, back-up- en herstelvoorzieningen en technische beveiligingsmaatregelen.</t>
    </r>
  </si>
  <si>
    <t>Out-of-scope</t>
  </si>
  <si>
    <t xml:space="preserve">Deze risicoanalyse richt zich op het formuleren van adviezen. De implementatie van verbetermaatregelen maakt geen onderdeel uit van deze opdracht. Zo worden er geen pentests uitgevoerd, het is gebaseerd op casus informatie. Daarnaast vallen de netwerken en devices van patiënten zelf buiten de scope. Onder andere vallen medische apparatuur en medsiche procedures die niet gebonden zijn aan een netwerk buiten de scope. Bovendien richt deze risicoanalyse zich niet op grootschalige IT-incidenten, maar op IT-risico's op structureel niveau binnen de dagelijkse bedrijfsvoering. </t>
  </si>
  <si>
    <t>Aanpak (methodiek)</t>
  </si>
  <si>
    <t>4-lagenmodel, BIV, ISO 27005, NIST CSF</t>
  </si>
  <si>
    <t>Aannames (min. 5)</t>
  </si>
  <si>
    <t>MFA is niet verplicht, IT is voornamelijk gericht op beheer en niet op security, de organisatie is sterk afhankelijk van het EZPD, er wordt gewerkt met verouderde software en inloggegevens worden niet tijdig uit het systeem verwijderd.</t>
  </si>
  <si>
    <t>Beperkingen analyse</t>
  </si>
  <si>
    <t xml:space="preserve">De analyse is gebaseerd op de aangeleverde casusdocument en is daarmee beperkt tot de daarin opgenomen informatie. Er zijn geen interviews met de betrokken partijen, zoals processeigenaren/IT/MT. Daarnaast zijn er geen technische scans uitgevoerd. BIV-waarden zijn inschattingen, dat wil zeggen dat het exacte impact kan afwijken. Ten slotte is er geen volledige asset-inventaris, CMDB of detaildocumentaties over configuraties, logging en patchstanden. </t>
  </si>
  <si>
    <t>Datum</t>
  </si>
  <si>
    <t>02/02/2026 - 03/12/2026</t>
  </si>
  <si>
    <t>Teamleden</t>
  </si>
  <si>
    <t>Mauzma &amp; Viresh</t>
  </si>
  <si>
    <t>Nr</t>
  </si>
  <si>
    <t>Organisatielaag</t>
  </si>
  <si>
    <t>Assetnaam</t>
  </si>
  <si>
    <t>Beschrijving</t>
  </si>
  <si>
    <t>Asset-owner (rol)</t>
  </si>
  <si>
    <t>B</t>
  </si>
  <si>
    <t>I</t>
  </si>
  <si>
    <t>V</t>
  </si>
  <si>
    <t>Motivatie BIV</t>
  </si>
  <si>
    <t>Menselijkelaag</t>
  </si>
  <si>
    <t>Stagiairs &amp; zorgstudenten</t>
  </si>
  <si>
    <t>Vanguard Healthcare werkt samen met opleidingsinstituten, waardoor stagiairs en zorgstudenten toegang krijgen tot interne leer- en informatiesystemen.</t>
  </si>
  <si>
    <t>Stagebegeleider</t>
  </si>
  <si>
    <r>
      <rPr>
        <b/>
        <sz val="11"/>
        <color rgb="FF0000FF"/>
        <rFont val="Calibri"/>
      </rPr>
      <t>Beschikbaarheid is middelmatig:</t>
    </r>
    <r>
      <rPr>
        <sz val="11"/>
        <color rgb="FF0000FF"/>
        <rFont val="Calibri"/>
      </rPr>
      <t xml:space="preserve"> Omdat stagaires toegang tot leer en informatie systemen nodig hebben voor hun opeliding en begeleiding, maar uitval heeft geen directe impact op patiënten zorg. </t>
    </r>
    <r>
      <rPr>
        <b/>
        <sz val="11"/>
        <color rgb="FF0000FF"/>
        <rFont val="Calibri"/>
      </rPr>
      <t>Integriteit is middelmatig:</t>
    </r>
    <r>
      <rPr>
        <sz val="11"/>
        <color rgb="FF0000FF"/>
        <rFont val="Calibri"/>
      </rPr>
      <t xml:space="preserve"> Omdat onjuiste of gewijzigde informatie in leer en reflectiedocumenten kan leiden to verkeerde interpretatie of beoordeling. </t>
    </r>
    <r>
      <rPr>
        <b/>
        <sz val="11"/>
        <color rgb="FF0000FF"/>
        <rFont val="Calibri"/>
      </rPr>
      <t>Vertrouwlijkheid is middelmatig:</t>
    </r>
    <r>
      <rPr>
        <sz val="11"/>
        <color rgb="FF0000FF"/>
        <rFont val="Calibri"/>
      </rPr>
      <t xml:space="preserve"> Omdat documenten zijn bedoeld om geanonimiseerd te zijn, maar bevatten in praktijk soms indirect herleidbare patiënt informatie. </t>
    </r>
  </si>
  <si>
    <t>Zorgmedewerkers</t>
  </si>
  <si>
    <t>De organisatie telt ongeveer 1.100 medewerkers, waaronder artsen, verpleegkundigen en zorgcoördinatoren die dagelijks afhankelijk zijn van digitale systemen voor zorgverlening.</t>
  </si>
  <si>
    <t>Management</t>
  </si>
  <si>
    <t xml:space="preserve">H </t>
  </si>
  <si>
    <r>
      <rPr>
        <b/>
        <sz val="11"/>
        <color rgb="FF0000FF"/>
        <rFont val="Calibri"/>
      </rPr>
      <t>Beschikbaarheid is hoog:</t>
    </r>
    <r>
      <rPr>
        <sz val="11"/>
        <color rgb="FF0000FF"/>
        <rFont val="Calibri"/>
      </rPr>
      <t xml:space="preserve"> Omdat zorgmedewerkers dagelijks afhankelijk zijn van digitale systemen voor directe zorgverlening en patiëntveiligheid. </t>
    </r>
    <r>
      <rPr>
        <b/>
        <sz val="11"/>
        <color rgb="FF0000FF"/>
        <rFont val="Calibri"/>
      </rPr>
      <t xml:space="preserve">Integriteit is hoog: </t>
    </r>
    <r>
      <rPr>
        <sz val="11"/>
        <color rgb="FF0000FF"/>
        <rFont val="Calibri"/>
      </rPr>
      <t xml:space="preserve">Omdat onjuiste informatie kan leiden tot verkeerde medische besluiten. </t>
    </r>
    <r>
      <rPr>
        <b/>
        <sz val="11"/>
        <color rgb="FF0000FF"/>
        <rFont val="Calibri"/>
      </rPr>
      <t>Vertrouwelijkheid is hoog:</t>
    </r>
    <r>
      <rPr>
        <sz val="11"/>
        <color rgb="FF0000FF"/>
        <rFont val="Calibri"/>
      </rPr>
      <t xml:space="preserve"> Omdat zorgmedewerkers met bijzondere persoonsgegevens werken, zoals medische gegevens. </t>
    </r>
  </si>
  <si>
    <t>Patiëntendossier</t>
  </si>
  <si>
    <t xml:space="preserve">het EZPD wordt gebruikt voor: Vastleggen en raadplegen van patiëntgegevens, Medicatiebeheer, Diagnostiek en behandelplannen, Communicatie met externe zorgpartners </t>
  </si>
  <si>
    <r>
      <rPr>
        <b/>
        <sz val="11"/>
        <color rgb="FF0000FF"/>
        <rFont val="Calibri"/>
      </rPr>
      <t>Beschikbaarheid is hoog:</t>
    </r>
    <r>
      <rPr>
        <sz val="11"/>
        <color rgb="FF0000FF"/>
        <rFont val="Calibri"/>
      </rPr>
      <t xml:space="preserve"> Omdat constante beschikbaarheid essentieel is voor zorgverlening, medicatiebeheer en patiëntveiligheid. </t>
    </r>
    <r>
      <rPr>
        <b/>
        <sz val="11"/>
        <color rgb="FF0000FF"/>
        <rFont val="Calibri"/>
      </rPr>
      <t xml:space="preserve">Integriteit is hoog: </t>
    </r>
    <r>
      <rPr>
        <sz val="11"/>
        <color rgb="FF0000FF"/>
        <rFont val="Calibri"/>
      </rPr>
      <t xml:space="preserve">Omdat gemanipuleerde gegevens kunnen leiden tot verkeerde diagnoses en behandelingen. </t>
    </r>
    <r>
      <rPr>
        <b/>
        <sz val="11"/>
        <color rgb="FF0000FF"/>
        <rFont val="Calibri"/>
      </rPr>
      <t xml:space="preserve">Vertrouwelijkheid is hoog: </t>
    </r>
    <r>
      <rPr>
        <sz val="11"/>
        <color rgb="FF0000FF"/>
        <rFont val="Calibri"/>
      </rPr>
      <t xml:space="preserve">Omdat zorgmedewerkers met bijzondere persoonsgegevens werken, zoals medische gegevens en behandelplannen. </t>
    </r>
  </si>
  <si>
    <t>IT medewerkers</t>
  </si>
  <si>
    <t>De IT-afdeling is relatief klein en richt zich vooral op operationeel beheer van systemen en infrastructuur.</t>
  </si>
  <si>
    <r>
      <rPr>
        <b/>
        <sz val="11"/>
        <color rgb="FF0000FF"/>
        <rFont val="Calibri"/>
      </rPr>
      <t xml:space="preserve">Beschikbaarheid is middel: </t>
    </r>
    <r>
      <rPr>
        <sz val="11"/>
        <color rgb="FF0000FF"/>
        <rFont val="Calibri"/>
      </rPr>
      <t xml:space="preserve">Omdat IT medewerkers nodig zijn voor het beheer en herstel van systemen, maar tijdelijkse afwezigheid leidt niet direct tot zorguitval. </t>
    </r>
    <r>
      <rPr>
        <b/>
        <sz val="11"/>
        <color rgb="FF0000FF"/>
        <rFont val="Calibri"/>
      </rPr>
      <t xml:space="preserve">Integriteit is hoog: </t>
    </r>
    <r>
      <rPr>
        <sz val="11"/>
        <color rgb="FF0000FF"/>
        <rFont val="Calibri"/>
      </rPr>
      <t xml:space="preserve">Omdat onjuist handelen of fouten in beheer kunnen grote impact hebben op systeem en gegevens. </t>
    </r>
    <r>
      <rPr>
        <b/>
        <sz val="11"/>
        <color rgb="FF0000FF"/>
        <rFont val="Calibri"/>
      </rPr>
      <t>Vertrouwelijkheid is hoog:</t>
    </r>
    <r>
      <rPr>
        <sz val="11"/>
        <color rgb="FF0000FF"/>
        <rFont val="Calibri"/>
      </rPr>
      <t xml:space="preserve"> Omdat IT medewerkers verhoogde toegangsrechten tot systeem en gevoelige gegevens. </t>
    </r>
  </si>
  <si>
    <t>Externe zorgprofessionals (buitenlandse of van huis uit medewerkers die medisch advies geven)</t>
  </si>
  <si>
    <t>Externe zorgprofessionals maken gebruik van een VPN-verbinding om toegang te krijgen tot interne systemen.</t>
  </si>
  <si>
    <r>
      <rPr>
        <b/>
        <sz val="11"/>
        <color rgb="FF0000FF"/>
        <rFont val="Calibri"/>
      </rPr>
      <t xml:space="preserve">Beschikbaarheid is middelmatig: </t>
    </r>
    <r>
      <rPr>
        <sz val="11"/>
        <color rgb="FF0000FF"/>
        <rFont val="Calibri"/>
      </rPr>
      <t xml:space="preserve">Omdat toegang tot systemen nodig is voor samenwerking en zorgcontinuïteit, maar uitval geeft meestal geen directe impact op de zorg. </t>
    </r>
    <r>
      <rPr>
        <b/>
        <sz val="11"/>
        <color rgb="FF0000FF"/>
        <rFont val="Calibri"/>
      </rPr>
      <t>Integriteit is hoog:</t>
    </r>
    <r>
      <rPr>
        <sz val="11"/>
        <color rgb="FF0000FF"/>
        <rFont val="Calibri"/>
      </rPr>
      <t xml:space="preserve"> Omdat onjuiste of gewijzigde informatie kan leiden tot fouten in zorgverlening of overdracht. </t>
    </r>
    <r>
      <rPr>
        <b/>
        <sz val="11"/>
        <color rgb="FF0000FF"/>
        <rFont val="Calibri"/>
      </rPr>
      <t xml:space="preserve">Vertrouwelijkheid is hoog: </t>
    </r>
    <r>
      <rPr>
        <sz val="11"/>
        <color rgb="FF0000FF"/>
        <rFont val="Calibri"/>
      </rPr>
      <t xml:space="preserve">Omdat externe zorgprofessionals via VPN toegang hebben tot medische en persoonsgegevens. </t>
    </r>
  </si>
  <si>
    <t>Gebruikersaccounts</t>
  </si>
  <si>
    <t>Accounts worden niet altijd tijdig aangepast bij functiewijzigingen of het beëindigen van tijdelijke contracten.</t>
  </si>
  <si>
    <t>IT</t>
  </si>
  <si>
    <r>
      <rPr>
        <b/>
        <sz val="11"/>
        <color rgb="FF0000FF"/>
        <rFont val="Calibri"/>
      </rPr>
      <t xml:space="preserve">Betrouwbaarheid is middelmatig: </t>
    </r>
    <r>
      <rPr>
        <sz val="11"/>
        <color rgb="FF0000FF"/>
        <rFont val="Calibri"/>
      </rPr>
      <t xml:space="preserve">Omdat gebruikersaccounts beschikbaar moeten zijn zodat medewerkers hun werk kunnen uitvoeren. Als accounts niet goed zijn ingericht of te laat worden aangepast, kan dit leiden tot tijdelijke verstoringen in het werkproces, maar de zorg stopt niet direct volledig. </t>
    </r>
    <r>
      <rPr>
        <b/>
        <sz val="11"/>
        <color rgb="FF0000FF"/>
        <rFont val="Calibri"/>
      </rPr>
      <t xml:space="preserve">Integriteit is hoog: </t>
    </r>
    <r>
      <rPr>
        <sz val="11"/>
        <color rgb="FF0000FF"/>
        <rFont val="Calibri"/>
      </rPr>
      <t xml:space="preserve">Wanneer accounts niet tijdig worden aangepast bij functiewijzigingen of uitdiensttreding, bestaat het risico dat onbevoegden gegevens kunnen wijzigen. Dit kan leiden tot onjuiste of gemanipuleerde informatie, wat vooral in een zorgomgeving grote gevolgen kan hebben. </t>
    </r>
    <r>
      <rPr>
        <b/>
        <sz val="11"/>
        <color rgb="FF0000FF"/>
        <rFont val="Calibri"/>
      </rPr>
      <t>Vertrouwelijkheid is hoog:</t>
    </r>
    <r>
      <rPr>
        <sz val="11"/>
        <color rgb="FF0000FF"/>
        <rFont val="Calibri"/>
      </rPr>
      <t xml:space="preserve"> Omdat verouderde of onterecht actieve accounts kunnen toegang geven tot gevoelige (patiënt)gegevens. Dit vergroot het risico op datalekken en schending van de AVG, waardoor de vertrouwelijkheid van informatie ernstig in gevaar komt.</t>
    </r>
  </si>
  <si>
    <t/>
  </si>
  <si>
    <t>Bedrijfsprocessen laag</t>
  </si>
  <si>
    <t>Zorgverlening</t>
  </si>
  <si>
    <t>Het kernproces van Vanguard Healthcare is het leveren van veilige, tijdige en kwalitatieve zorg, waarbij zorgverleners sterk afhankelijk zijn van digitale systemen.</t>
  </si>
  <si>
    <r>
      <rPr>
        <b/>
        <sz val="11"/>
        <color rgb="FF0000FF"/>
        <rFont val="Calibri"/>
      </rPr>
      <t xml:space="preserve">Beschikbaarheid is hoog: </t>
    </r>
    <r>
      <rPr>
        <sz val="11"/>
        <color rgb="FF0000FF"/>
        <rFont val="Calibri"/>
      </rPr>
      <t>Het zorgverleningsproces moet continu beschikbaar zijn. Uitval van digitale systemen kan direct leiden tot vertraging of stilstand van zorg, wat gevolgen heeft voor patiëntveiligheid en continuïteit van de organisatie.</t>
    </r>
    <r>
      <rPr>
        <b/>
        <sz val="11"/>
        <color rgb="FF0000FF"/>
        <rFont val="Calibri"/>
      </rPr>
      <t xml:space="preserve"> Integriteit is hoog: </t>
    </r>
    <r>
      <rPr>
        <sz val="11"/>
        <color rgb="FF0000FF"/>
        <rFont val="Calibri"/>
      </rPr>
      <t>Zorgverlening is afhankelijk van correcte en actuele gegevens. Onjuiste of aangepaste informatie kan leiden tot verkeerde diagnoses, behandelingen of medicatie, met ernstige risico’s voor patiënten.</t>
    </r>
    <r>
      <rPr>
        <b/>
        <sz val="11"/>
        <color rgb="FF0000FF"/>
        <rFont val="Calibri"/>
      </rPr>
      <t xml:space="preserve"> Vertrouwlijkheid is hoog: </t>
    </r>
    <r>
      <rPr>
        <sz val="11"/>
        <color rgb="FF0000FF"/>
        <rFont val="Calibri"/>
      </rPr>
      <t>Tijdens het zorgproces worden gevoelige patiëntgegevens verwerkt. Onbevoegde toegang tot deze gegevens kan leiden tot datalekken en overtreding van wetgeving zoals de AVG.</t>
    </r>
  </si>
  <si>
    <t>Incidenten, waarschuwingssignalen en auditobservaties</t>
  </si>
  <si>
    <t>De IT-afdeling focust zich op onderhoud, niet op beveiliging. Problemen worden vooral opgelost als ze optreden, maar er wordt weinig gedaan om aanvallen vooraf te voorkomen.</t>
  </si>
  <si>
    <r>
      <rPr>
        <b/>
        <sz val="11"/>
        <color rgb="FF0000FF"/>
        <rFont val="Calibri"/>
      </rPr>
      <t xml:space="preserve">Beschikbaarheid is middelmatig: </t>
    </r>
    <r>
      <rPr>
        <sz val="11"/>
        <color rgb="FF0000FF"/>
        <rFont val="Calibri"/>
      </rPr>
      <t>Het proces rondom incidenten en waarschuwingen ondersteunt de continuïteit van IT-diensten, maar is niet direct zorgverlenend. Als dit proces tijdelijk minder goed functioneert, leidt dit niet meteen tot stilstand van zorg, maar verhoogt het wel de kans op verstoringen.</t>
    </r>
    <r>
      <rPr>
        <b/>
        <sz val="11"/>
        <color rgb="FF0000FF"/>
        <rFont val="Calibri"/>
      </rPr>
      <t xml:space="preserve"> Integriteit is hoog: </t>
    </r>
    <r>
      <rPr>
        <sz val="11"/>
        <color rgb="FF0000FF"/>
        <rFont val="Calibri"/>
      </rPr>
      <t>Incidentmeldingen, loggegevens en auditobservaties moeten betrouwbaar en correct zijn. Als deze informatie onjuist of onvolledig is, kunnen risico’s verkeerd worden ingeschat en blijven kwetsbaarheden onopgemerkt.</t>
    </r>
    <r>
      <rPr>
        <b/>
        <sz val="11"/>
        <color rgb="FF0000FF"/>
        <rFont val="Calibri"/>
      </rPr>
      <t xml:space="preserve">  Vertrouwlijkheid is middelmatig: </t>
    </r>
    <r>
      <rPr>
        <sz val="11"/>
        <color rgb="FF0000FF"/>
        <rFont val="Calibri"/>
      </rPr>
      <t>Incidentinformatie kan gevoelige technische en organisatorische details bevatten. Onbevoegde inzage kan misbruik in de hand werken, maar de gegevens zijn meestal minder gevoelig dan patiëntgegevens.</t>
    </r>
  </si>
  <si>
    <t>Administratie</t>
  </si>
  <si>
    <t>Ondersteunende processen zoals administratie zijn sterk geautomatiseerd en gekoppeld aan het EZPD.</t>
  </si>
  <si>
    <r>
      <rPr>
        <b/>
        <sz val="11"/>
        <color rgb="FF0000FF"/>
        <rFont val="Calibri"/>
      </rPr>
      <t xml:space="preserve">Beschikbaarheid is middelmatig: </t>
    </r>
    <r>
      <rPr>
        <sz val="11"/>
        <color rgb="FF0000FF"/>
        <rFont val="Calibri"/>
      </rPr>
      <t>Administratieve processen zijn belangrijk voor de organisatie, maar ondersteunen vooral de zorgverlening. Tijdelijke uitval heeft niet direct invloed op patiëntveiligheid, maar kan wel leiden tot vertragingen en inefficiënties.</t>
    </r>
    <r>
      <rPr>
        <b/>
        <sz val="11"/>
        <color rgb="FF0000FF"/>
        <rFont val="Calibri"/>
      </rPr>
      <t xml:space="preserve"> Integriteit is hoog: </t>
    </r>
    <r>
      <rPr>
        <sz val="11"/>
        <color rgb="FF0000FF"/>
        <rFont val="Calibri"/>
      </rPr>
      <t>Administratieve processen zijn gekoppeld aan het EZPD en verwerken gegevens zoals declaraties, dossiers en personeelsinformatie. Onjuiste of gewijzigde gegevens kunnen leiden tot fouten in facturatie, rapportages en besluitvorming.</t>
    </r>
    <r>
      <rPr>
        <b/>
        <sz val="11"/>
        <color rgb="FF0000FF"/>
        <rFont val="Calibri"/>
      </rPr>
      <t xml:space="preserve"> Vertrouwlijkheid is hoog: </t>
    </r>
    <r>
      <rPr>
        <sz val="11"/>
        <color rgb="FF0000FF"/>
        <rFont val="Calibri"/>
      </rPr>
      <t>Binnen administratieve processen worden gevoelige persoonsgegevens en zorggerelateerde informatie verwerkt. Onbevoegde toegang kan leiden tot datalekken en overtreding van privacywetgeving zoals de AVG.</t>
    </r>
  </si>
  <si>
    <t>HR &amp; Planning</t>
  </si>
  <si>
    <t>Voor personeelsbeheer maakt Vanguard Healthcare gebruik van een Cloud gebaseerde HR- en planningsapplicatie.</t>
  </si>
  <si>
    <t>HR</t>
  </si>
  <si>
    <r>
      <rPr>
        <b/>
        <sz val="11"/>
        <color rgb="FF0000FF"/>
        <rFont val="Calibri"/>
      </rPr>
      <t xml:space="preserve">Beschikbaarheid is middelmatig: </t>
    </r>
    <r>
      <rPr>
        <sz val="11"/>
        <color rgb="FF0000FF"/>
        <rFont val="Calibri"/>
      </rPr>
      <t>HR- en planningsprocessen zijn belangrijk voor een goede bezetting, maar tijdelijke uitval leidt niet direct tot het stoppen van zorg. Wel kan het roosters verstoren en extra werkdruk veroorzaken.</t>
    </r>
    <r>
      <rPr>
        <b/>
        <sz val="11"/>
        <color rgb="FF0000FF"/>
        <rFont val="Calibri"/>
      </rPr>
      <t xml:space="preserve"> Integriteit is hoog: </t>
    </r>
    <r>
      <rPr>
        <sz val="11"/>
        <color rgb="FF0000FF"/>
        <rFont val="Calibri"/>
      </rPr>
      <t>Het HR- en planningssysteem bevat gegevens over roosters, contracten en inzet van personeel. Onjuiste of aangepaste gegevens kunnen leiden tot verkeerde planning, onderbezetting en verstoring van zorgprocessen.</t>
    </r>
    <r>
      <rPr>
        <b/>
        <sz val="11"/>
        <color rgb="FF0000FF"/>
        <rFont val="Calibri"/>
      </rPr>
      <t xml:space="preserve"> Vertrouwlijkheid is hoog: </t>
    </r>
    <r>
      <rPr>
        <sz val="11"/>
        <color rgb="FF0000FF"/>
        <rFont val="Calibri"/>
      </rPr>
      <t>In de cloudgebaseerde HR- en planningsapplicatie worden gevoelige persoonsgegevens van medewerkers verwerkt. Onbevoegde toegang kan leiden tot datalekken en schending van privacywetgeving.</t>
    </r>
  </si>
  <si>
    <t>Financiën &amp; Declaraties</t>
  </si>
  <si>
    <t>De financiële afhandeling van zorgverlening verloopt grotendeels digitaal via declaratie- en facturatiesystemen gekoppeld aan zorgverzekeraars Dit systeem ontvangt gegevens vanuit het EZPD over geleverde zorg, behandelingen en verrichtingen, en vertaalt deze naar declaraties richting externe partijen.</t>
  </si>
  <si>
    <t>Financiën afdeling</t>
  </si>
  <si>
    <r>
      <rPr>
        <b/>
        <sz val="11"/>
        <color rgb="FF0000FF"/>
        <rFont val="Calibri"/>
      </rPr>
      <t xml:space="preserve">Beschikbaarheid is middelmatig: </t>
    </r>
    <r>
      <rPr>
        <sz val="11"/>
        <color rgb="FF0000FF"/>
        <rFont val="Calibri"/>
      </rPr>
      <t>Financiële en declaratieprocessen zijn belangrijk voor de continuïteit van de organisatie, maar tijdelijke uitval heeft geen directe invloed op patiëntveiligheid. Wel kan het leiden tot vertraging in betalingen en inkomsten.</t>
    </r>
    <r>
      <rPr>
        <b/>
        <sz val="11"/>
        <color rgb="FF0000FF"/>
        <rFont val="Calibri"/>
      </rPr>
      <t xml:space="preserve"> Integriteit is hoog: </t>
    </r>
    <r>
      <rPr>
        <sz val="11"/>
        <color rgb="FF0000FF"/>
        <rFont val="Calibri"/>
      </rPr>
      <t>Het declaratie- en facturatiesysteem ontvangt gegevens uit het EZPD over behandelingen en verrichtingen. Onjuiste of gemanipuleerde gegevens kunnen leiden tot foutieve declaraties, financiële schade en problemen met zorgverzekeraars.</t>
    </r>
    <r>
      <rPr>
        <b/>
        <sz val="11"/>
        <color rgb="FF0000FF"/>
        <rFont val="Calibri"/>
      </rPr>
      <t xml:space="preserve"> Vertrouwlijkheid is hoog: </t>
    </r>
    <r>
      <rPr>
        <sz val="11"/>
        <color rgb="FF0000FF"/>
        <rFont val="Calibri"/>
      </rPr>
      <t>In dit proces worden financiële gegevens en zorggerelateerde persoonsgegevens verwerkt. Onbevoegde toegang kan leiden tot datalekken en overtreding van privacywetgeving.</t>
    </r>
  </si>
  <si>
    <t>Samenwerking met externe partijen</t>
  </si>
  <si>
    <t>Vanguard Healthcare werkt samen met laboratoria, ICT-leveranciers en zorgverzekeraars waarbij gegevens digitaal worden uitgewisseld via API en beveiligde e-mail.</t>
  </si>
  <si>
    <r>
      <rPr>
        <b/>
        <sz val="11"/>
        <color rgb="FF0000FF"/>
        <rFont val="Calibri"/>
      </rPr>
      <t xml:space="preserve">Beschikbaarheid is middelmatig: </t>
    </r>
    <r>
      <rPr>
        <sz val="11"/>
        <color rgb="FF0000FF"/>
        <rFont val="Calibri"/>
      </rPr>
      <t>De samenwerking met externe partijen is belangrijk voor ondersteuning van zorgprocessen, zoals laboratoriumuitslagen en declaraties. Tijdelijke uitval van gegevensuitwisseling leidt meestal tot vertraging, maar niet direct tot volledige stilstand van zorgverlening.</t>
    </r>
    <r>
      <rPr>
        <b/>
        <sz val="11"/>
        <color rgb="FF0000FF"/>
        <rFont val="Calibri"/>
      </rPr>
      <t xml:space="preserve"> Integriteit is hoog: </t>
    </r>
    <r>
      <rPr>
        <sz val="11"/>
        <color rgb="FF0000FF"/>
        <rFont val="Calibri"/>
      </rPr>
      <t>Gegevens worden digitaal uitgewisseld via API’s en beveiligde e-mail. Het is cruciaal dat deze gegevens correct en ongewijzigd worden ontvangen, omdat fouten kunnen leiden tot verkeerde medische of administratieve beslissingen.</t>
    </r>
    <r>
      <rPr>
        <b/>
        <sz val="11"/>
        <color rgb="FF0000FF"/>
        <rFont val="Calibri"/>
      </rPr>
      <t xml:space="preserve">  Vertrouwlijkheid is hoog: </t>
    </r>
    <r>
      <rPr>
        <sz val="11"/>
        <color rgb="FF0000FF"/>
        <rFont val="Calibri"/>
      </rPr>
      <t>Bij de gegevensuitwisseling met externe partijen worden gevoelige (patiënt)gegevens gedeeld. Onbevoegde inzage of onderschepping kan leiden tot datalekken en schending van privacywetgeving zoals de AVG.</t>
    </r>
  </si>
  <si>
    <t>Informatie, data- en applicatielaag</t>
  </si>
  <si>
    <t>EZPD</t>
  </si>
  <si>
    <t>EZPD is het primaire informatiesysteem waarin patiëntgegevens, medicatie, diagnosen en behandelplannen worden vastgelegd en geraadpleegd.</t>
  </si>
  <si>
    <r>
      <rPr>
        <b/>
        <sz val="11"/>
        <color rgb="FF0000FF"/>
        <rFont val="Calibri"/>
      </rPr>
      <t>Beschikbaarheid is hoog</t>
    </r>
    <r>
      <rPr>
        <sz val="11"/>
        <color rgb="FF0000FF"/>
        <rFont val="Calibri"/>
      </rPr>
      <t xml:space="preserve">: Continue beschikbaarheid is noodzakelijk voor zorgverlening, medicatiebeheer en diagnostiek, uitval heeft directe impact op de patientveiligheid. </t>
    </r>
    <r>
      <rPr>
        <b/>
        <sz val="11"/>
        <color rgb="FF0000FF"/>
        <rFont val="Calibri"/>
      </rPr>
      <t xml:space="preserve">Integriteit is Hoog: </t>
    </r>
    <r>
      <rPr>
        <sz val="11"/>
        <color rgb="FF0000FF"/>
        <rFont val="Calibri"/>
      </rPr>
      <t>onjuiste of gemanipuleerde gegevens kunnen leiden tot verkeerde diagnoses of behandelingen</t>
    </r>
    <r>
      <rPr>
        <b/>
        <sz val="11"/>
        <color rgb="FF0000FF"/>
        <rFont val="Calibri"/>
      </rPr>
      <t>.</t>
    </r>
    <r>
      <rPr>
        <sz val="11"/>
        <color rgb="FF0000FF"/>
        <rFont val="Calibri"/>
      </rPr>
      <t xml:space="preserve">  </t>
    </r>
    <r>
      <rPr>
        <b/>
        <sz val="11"/>
        <color rgb="FF0000FF"/>
        <rFont val="Calibri"/>
      </rPr>
      <t>Vertrouwlijkheid is hoog</t>
    </r>
    <r>
      <rPr>
        <sz val="11"/>
        <color rgb="FF0000FF"/>
        <rFont val="Calibri"/>
      </rPr>
      <t>: Het EZPD bevat bijzondere persoonsgegevens, zoals medische dossiers en behandelplannen</t>
    </r>
  </si>
  <si>
    <t>Vanguard Connect</t>
  </si>
  <si>
    <t>Vanguard Connect fungeert als het primaire patiëntenportaal voor e-consults, medische uitslagen, communicatie en afspraken beheren.</t>
  </si>
  <si>
    <r>
      <rPr>
        <b/>
        <sz val="11"/>
        <color rgb="FF0000FF"/>
        <rFont val="Calibri"/>
      </rPr>
      <t xml:space="preserve">Beschikbaarheid is hoog: </t>
    </r>
    <r>
      <rPr>
        <sz val="11"/>
        <color rgb="FF0000FF"/>
        <rFont val="Calibri"/>
      </rPr>
      <t>Beschikbaarheid is essentieel voor e-consults en zorg op afstand; uitval verstoort de continuïteit van zorg</t>
    </r>
    <r>
      <rPr>
        <b/>
        <sz val="11"/>
        <color rgb="FF0000FF"/>
        <rFont val="Calibri"/>
      </rPr>
      <t xml:space="preserve"> Integriteit is hoog: </t>
    </r>
    <r>
      <rPr>
        <sz val="11"/>
        <color rgb="FF0000FF"/>
        <rFont val="Calibri"/>
      </rPr>
      <t>Onjuiste of gewijzigde informatie kan leiden tot verkeerde medische communicatie of besluitvorming</t>
    </r>
    <r>
      <rPr>
        <b/>
        <sz val="11"/>
        <color rgb="FF0000FF"/>
        <rFont val="Calibri"/>
      </rPr>
      <t xml:space="preserve"> Vertrouwlijkheid is hoog: </t>
    </r>
    <r>
      <rPr>
        <sz val="11"/>
        <color rgb="FF0000FF"/>
        <rFont val="Calibri"/>
      </rPr>
      <t>Het platform verwerkt persoonsgegevens en bijzondere medische gegevens</t>
    </r>
  </si>
  <si>
    <t xml:space="preserve">DLO </t>
  </si>
  <si>
    <t>DLO wordt gebruikt voor opleiding, bijscholing, stageopdrachten en kennisdeling binnen de organisatie.</t>
  </si>
  <si>
    <r>
      <rPr>
        <b/>
        <sz val="11"/>
        <color rgb="FF0000FF"/>
        <rFont val="Calibri"/>
      </rPr>
      <t xml:space="preserve">Beschikbaarheid is hoog: </t>
    </r>
    <r>
      <rPr>
        <sz val="11"/>
        <color rgb="FF0000FF"/>
        <rFont val="Calibri"/>
      </rPr>
      <t>Beschikbaarheid is essentieel voor e-consults en digitale zorgverlening</t>
    </r>
    <r>
      <rPr>
        <b/>
        <sz val="11"/>
        <color rgb="FF0000FF"/>
        <rFont val="Calibri"/>
      </rPr>
      <t xml:space="preserve"> Integriteit is hoog: </t>
    </r>
    <r>
      <rPr>
        <sz val="11"/>
        <color rgb="FF0000FF"/>
        <rFont val="Calibri"/>
      </rPr>
      <t>Onjuiste of gewijzigde informatie kan leiden tot verkeerde medische communicatie</t>
    </r>
    <r>
      <rPr>
        <b/>
        <sz val="11"/>
        <color rgb="FF0000FF"/>
        <rFont val="Calibri"/>
      </rPr>
      <t xml:space="preserve"> Vertrouwlijkheid is hoog: </t>
    </r>
    <r>
      <rPr>
        <sz val="11"/>
        <color rgb="FF0000FF"/>
        <rFont val="Calibri"/>
      </rPr>
      <t>Verwerkt persoonsgegevens en bijzondere medische gegevens</t>
    </r>
  </si>
  <si>
    <t>HR &amp; Planning applicatie</t>
  </si>
  <si>
    <t>Cloud gebaseerde applicatie voor roosterplanning, registratie van gewerkte uren, verlofaanvragen, beschikbaarheid en koppelingen met salarisverwerking.</t>
  </si>
  <si>
    <t xml:space="preserve">HR </t>
  </si>
  <si>
    <r>
      <rPr>
        <b/>
        <sz val="11"/>
        <color rgb="FF0000FF"/>
        <rFont val="Calibri"/>
      </rPr>
      <t xml:space="preserve">Beschikbaarheid is hoog: </t>
    </r>
    <r>
      <rPr>
        <sz val="11"/>
        <color rgb="FF0000FF"/>
        <rFont val="Calibri"/>
      </rPr>
      <t>Beschikbaarheid is belangrijk voor personeelsplanning, maar uitval heeft geen directe impact op de acute zorg</t>
    </r>
    <r>
      <rPr>
        <b/>
        <sz val="11"/>
        <color rgb="FF0000FF"/>
        <rFont val="Calibri"/>
      </rPr>
      <t xml:space="preserve"> Integriteit is hoog: </t>
    </r>
    <r>
      <rPr>
        <sz val="11"/>
        <color rgb="FF0000FF"/>
        <rFont val="Calibri"/>
      </rPr>
      <t>onjuiste of gewijzigde gegevens kunnen leiden tot verkeerde roosters, loonfouten en operationele verstoringen</t>
    </r>
    <r>
      <rPr>
        <b/>
        <sz val="11"/>
        <color rgb="FF0000FF"/>
        <rFont val="Calibri"/>
      </rPr>
      <t xml:space="preserve"> Vertrouwlijkheid is hoog: </t>
    </r>
    <r>
      <rPr>
        <sz val="11"/>
        <color rgb="FF0000FF"/>
        <rFont val="Calibri"/>
      </rPr>
      <t>Bevat persoonsgegevens van medewerkers, zoals contract- en werktijdgegevens</t>
    </r>
  </si>
  <si>
    <t>Financiën &amp; Declaraties systeem</t>
  </si>
  <si>
    <t>Digitaal systeem voor declaraties en facturatie dat gegevens ontvangt vanuit het EZPD en declaraties richting zorgverzekeraars verzorgt via API-, EDI- en SFTP-koppelingen.</t>
  </si>
  <si>
    <r>
      <rPr>
        <b/>
        <sz val="11"/>
        <color rgb="FF0000FF"/>
        <rFont val="Calibri"/>
      </rPr>
      <t xml:space="preserve">Beschikbaarheid is middel: </t>
    </r>
    <r>
      <rPr>
        <sz val="11"/>
        <color rgb="FF0000FF"/>
        <rFont val="Calibri"/>
      </rPr>
      <t>Beschikbaarheid is belangrijk voor facturatie en declaraties, maar uitval heeft geen directe impact op de acute zorg</t>
    </r>
    <r>
      <rPr>
        <b/>
        <sz val="11"/>
        <color rgb="FF0000FF"/>
        <rFont val="Calibri"/>
      </rPr>
      <t xml:space="preserve"> Integriteit is hoog: </t>
    </r>
    <r>
      <rPr>
        <sz val="11"/>
        <color rgb="FF0000FF"/>
        <rFont val="Calibri"/>
      </rPr>
      <t>Onjuiste of gewijzigde gegevens kunnen leiden tot foutieve declaraties en financiële schade.</t>
    </r>
    <r>
      <rPr>
        <b/>
        <sz val="11"/>
        <color rgb="FF0000FF"/>
        <rFont val="Calibri"/>
      </rPr>
      <t xml:space="preserve"> Vertrouwlijkheid is hoog: </t>
    </r>
    <r>
      <rPr>
        <sz val="11"/>
        <color rgb="FF0000FF"/>
        <rFont val="Calibri"/>
      </rPr>
      <t>Verwerkt financiële gegevens en zorggerelateerde persoonsgegevens</t>
    </r>
  </si>
  <si>
    <t>Identity Management (Vanguard Healthcare)</t>
  </si>
  <si>
    <t>Identity management omgeving waarmee gebruikers authenticeren en autorisaties worden toegekend op basis van functie en rol, inclusief federatie voor zorgverleners.</t>
  </si>
  <si>
    <t>IT operations manager</t>
  </si>
  <si>
    <r>
      <rPr>
        <b/>
        <sz val="11"/>
        <color rgb="FF0000FF"/>
        <rFont val="Calibri"/>
      </rPr>
      <t xml:space="preserve">Beschikbaarheid is hoog: </t>
    </r>
    <r>
      <rPr>
        <sz val="11"/>
        <color rgb="FF0000FF"/>
        <rFont val="Calibri"/>
      </rPr>
      <t>Zonder IAM kunnen gebruikers zich niet authenticeren en krijgen zij geen toegang tot kritieke zorgsystemen</t>
    </r>
    <r>
      <rPr>
        <b/>
        <sz val="11"/>
        <color rgb="FF0000FF"/>
        <rFont val="Calibri"/>
      </rPr>
      <t xml:space="preserve"> Integriteit is hoog: </t>
    </r>
    <r>
      <rPr>
        <sz val="11"/>
        <color rgb="FF0000FF"/>
        <rFont val="Calibri"/>
      </rPr>
      <t>onjuiste autorisaties kunnen leiden tot onbevoegde toegang of verstoring van systemen</t>
    </r>
    <r>
      <rPr>
        <b/>
        <sz val="11"/>
        <color rgb="FF0000FF"/>
        <rFont val="Calibri"/>
      </rPr>
      <t xml:space="preserve">  Vertrouwlijkheid is </t>
    </r>
    <r>
      <rPr>
        <sz val="11"/>
        <color rgb="FF0000FF"/>
        <rFont val="Calibri"/>
      </rPr>
      <t>IAM beheert toegangsrechten tot systemen met bijzondere persoonsgegevens</t>
    </r>
  </si>
  <si>
    <t>Infrastructuur laag</t>
  </si>
  <si>
    <t>Netwerk infrastructuur</t>
  </si>
  <si>
    <t>Vanguard Healthcare maakt gebruik van een breed opgezet netwerk dat meerdere locaties met elkaar verbindt via een glasvezel KPN WAN.</t>
  </si>
  <si>
    <r>
      <rPr>
        <b/>
        <sz val="11"/>
        <color rgb="FF0000FF"/>
        <rFont val="Calibri"/>
      </rPr>
      <t xml:space="preserve">Beschikbaarheid is hoog: </t>
    </r>
    <r>
      <rPr>
        <sz val="11"/>
        <color rgb="FF0000FF"/>
        <rFont val="Calibri"/>
      </rPr>
      <t>Het netwerk is noodzakelijk voor verbinding tussen locaties en toegang tot zorg- en informatiesystemen</t>
    </r>
    <r>
      <rPr>
        <b/>
        <sz val="11"/>
        <color rgb="FF0000FF"/>
        <rFont val="Calibri"/>
      </rPr>
      <t xml:space="preserve"> Integriteit is hoog: </t>
    </r>
    <r>
      <rPr>
        <sz val="11"/>
        <color rgb="FF0000FF"/>
        <rFont val="Calibri"/>
      </rPr>
      <t>Ongewenste wijzigingen of verstoringen in het netwerk kunnen leiden tot uitval of datamanipulatie</t>
    </r>
    <r>
      <rPr>
        <b/>
        <sz val="11"/>
        <color rgb="FF0000FF"/>
        <rFont val="Calibri"/>
      </rPr>
      <t xml:space="preserve">  Vertrouwlijkheid is middel: </t>
    </r>
    <r>
      <rPr>
        <sz val="11"/>
        <color rgb="FF0000FF"/>
        <rFont val="Calibri"/>
      </rPr>
      <t>Het netwerk transporteert gevoelige gegevens, maar de vertrouwelijkheid wordt deels geborgd via versleuteling en applicatiebeveiliging</t>
    </r>
  </si>
  <si>
    <t>VPN voor Externe zorgprofessionals</t>
  </si>
  <si>
    <r>
      <rPr>
        <b/>
        <sz val="11"/>
        <color rgb="FF0000FF"/>
        <rFont val="Calibri"/>
      </rPr>
      <t xml:space="preserve">Beschikbaarheid is hoog: </t>
    </r>
    <r>
      <rPr>
        <sz val="11"/>
        <color rgb="FF0000FF"/>
        <rFont val="Calibri"/>
      </rPr>
      <t xml:space="preserve">Zonder VPN kunnen externe zorgprofessionals geen toegang krijgen tot interne systemen en stagneert de samenwerking </t>
    </r>
    <r>
      <rPr>
        <b/>
        <sz val="11"/>
        <color rgb="FF0000FF"/>
        <rFont val="Calibri"/>
      </rPr>
      <t xml:space="preserve">Integriteit is hoog: </t>
    </r>
    <r>
      <rPr>
        <sz val="11"/>
        <color rgb="FF0000FF"/>
        <rFont val="Calibri"/>
      </rPr>
      <t>misconfiguratie of misbruik van de VPN kan leiden tot onbevoegde toegang of verstoring van systemen</t>
    </r>
    <r>
      <rPr>
        <b/>
        <sz val="11"/>
        <color rgb="FF0000FF"/>
        <rFont val="Calibri"/>
      </rPr>
      <t xml:space="preserve">  Vertrouwlijkheid is hoog: </t>
    </r>
    <r>
      <rPr>
        <sz val="11"/>
        <color rgb="FF0000FF"/>
        <rFont val="Calibri"/>
      </rPr>
      <t>via de VPN wordt toegang verkregen tot systemen met (bijzondere) persoonsgegevens</t>
    </r>
  </si>
  <si>
    <t>Cloudomgeving</t>
  </si>
  <si>
    <t>EZPD systeem wordt gehost in een hybride cloudomgeving, waarbij een externe leverancier verantwoordelijk is voor hosting, onderhoud en updates.</t>
  </si>
  <si>
    <r>
      <rPr>
        <b/>
        <sz val="11"/>
        <color rgb="FF0000FF"/>
        <rFont val="Calibri"/>
      </rPr>
      <t xml:space="preserve">Beschikbaarheid is hoog: </t>
    </r>
    <r>
      <rPr>
        <sz val="11"/>
        <color rgb="FF0000FF"/>
        <rFont val="Calibri"/>
      </rPr>
      <t xml:space="preserve">beschikbaarheid van de cloudomgeving is essentieel voor het functioneren van het EZPD en daarmee voor de continuïteit van zorg </t>
    </r>
    <r>
      <rPr>
        <b/>
        <sz val="11"/>
        <color rgb="FF0000FF"/>
        <rFont val="Calibri"/>
      </rPr>
      <t xml:space="preserve">Integriteit is hoog: </t>
    </r>
    <r>
      <rPr>
        <sz val="11"/>
        <color rgb="FF0000FF"/>
        <rFont val="Calibri"/>
      </rPr>
      <t>verstoringen of ongewenste wijzigingen in de cloudomgeving kunnen leiden tot dataverlies of systeemfouten</t>
    </r>
    <r>
      <rPr>
        <b/>
        <sz val="11"/>
        <color rgb="FF0000FF"/>
        <rFont val="Calibri"/>
      </rPr>
      <t xml:space="preserve"> Vertrouwlijkheid is hoog: </t>
    </r>
    <r>
      <rPr>
        <sz val="11"/>
        <color rgb="FF0000FF"/>
        <rFont val="Calibri"/>
      </rPr>
      <t>De cloudomgeving verwerkt en bewaart bijzondere medische persoonsgegevens (AVG) via het EZPD</t>
    </r>
  </si>
  <si>
    <t>Medische IoT-apparatuur</t>
  </si>
  <si>
    <t>Medische IoT-apparatuur zit op hetzelfde netwerksegment als werkplekken op sommige afdelingen.</t>
  </si>
  <si>
    <r>
      <rPr>
        <b/>
        <sz val="11"/>
        <color rgb="FF0000FF"/>
        <rFont val="Calibri"/>
      </rPr>
      <t xml:space="preserve">Beschikbaarheid is hoog: </t>
    </r>
    <r>
      <rPr>
        <sz val="11"/>
        <color rgb="FF0000FF"/>
        <rFont val="Calibri"/>
      </rPr>
      <t>Medische IoT-apparatuur wordt gebruikt tijdens de zorgverlening. Uitval of verstoring van deze apparatuur kan direct invloed hebben op de continuïteit van zorg en mogelijk op patiëntveiligheid.</t>
    </r>
    <r>
      <rPr>
        <b/>
        <sz val="11"/>
        <color rgb="FF0000FF"/>
        <rFont val="Calibri"/>
      </rPr>
      <t xml:space="preserve"> Integriteit is hoog: </t>
    </r>
    <r>
      <rPr>
        <sz val="11"/>
        <color rgb="FF0000FF"/>
        <rFont val="Calibri"/>
      </rPr>
      <t>De apparatuur verwerkt en verstuurt meetgegevens die gebruikt worden door zorgverleners. Als deze gegevens worden aangepast of onjuist zijn, kan dit leiden tot verkeerde interpretaties en beslissingen.</t>
    </r>
    <r>
      <rPr>
        <b/>
        <sz val="11"/>
        <color rgb="FF0000FF"/>
        <rFont val="Calibri"/>
      </rPr>
      <t xml:space="preserve">  Vertrouwlijkheid is middelmatig: </t>
    </r>
    <r>
      <rPr>
        <sz val="11"/>
        <color rgb="FF0000FF"/>
        <rFont val="Calibri"/>
      </rPr>
      <t>Medische IoT-apparatuur verwerkt soms patiëntgegevens, maar meestal in beperkte vorm. Doordat de apparatuur zich op hetzelfde netwerksegment bevindt als werkplekken, bestaat wel een verhoogd risico op ongeautoriseerde toegang, maar de gevoeligheid is vaak lager dan bij het EZPD.</t>
    </r>
  </si>
  <si>
    <t>Verouderde software</t>
  </si>
  <si>
    <t>Een deel van de Medische apparatuur en zorgtechnologie draait op verouderde software en ontvangt niet structureel beveiligingsupdates. De apparatuur is functioneel noodzakelijk voor zorgverlening, maar vormt tegelijkertijd een potentieel aanvalsvlak binnen de IT-infrastructuur.</t>
  </si>
  <si>
    <r>
      <rPr>
        <b/>
        <sz val="11"/>
        <color rgb="FF0000FF"/>
        <rFont val="Calibri"/>
      </rPr>
      <t xml:space="preserve">Beschikbaarheid is hoog:  </t>
    </r>
    <r>
      <rPr>
        <sz val="11"/>
        <color rgb="FF0000FF"/>
        <rFont val="Calibri"/>
      </rPr>
      <t xml:space="preserve">De medische apparatuur is functioneel noodzakelijk voor de zorgverlening. Uitval van deze systemen kan direct leiden tot vertraging of het niet kunnen uitvoeren van behandelingen, wat impact heeft op patiëntveiligheid. </t>
    </r>
    <r>
      <rPr>
        <b/>
        <sz val="11"/>
        <color rgb="FF0000FF"/>
        <rFont val="Calibri"/>
      </rPr>
      <t xml:space="preserve">Integriteit is hoog:  </t>
    </r>
    <r>
      <rPr>
        <sz val="11"/>
        <color rgb="FF0000FF"/>
        <rFont val="Calibri"/>
      </rPr>
      <t xml:space="preserve">Verouderde software die geen beveiligingsupdates ontvangt, vergroot de kans op misbruik of manipulatie. Aangepaste of onjuiste werking van apparatuur kan leiden tot foutieve meetwaarden of zorgbeslissingen. </t>
    </r>
    <r>
      <rPr>
        <b/>
        <sz val="11"/>
        <color rgb="FF0000FF"/>
        <rFont val="Calibri"/>
      </rPr>
      <t xml:space="preserve">Vertrouwlijkheid is middelmatig: </t>
    </r>
    <r>
      <rPr>
        <sz val="11"/>
        <color rgb="FF0000FF"/>
        <rFont val="Calibri"/>
      </rPr>
      <t>De apparatuur verwerkt soms (beperkte) patiëntgegevens. Door het ontbreken van updates bestaat een verhoogd risico op ongeautoriseerde toegang, maar de hoeveelheid en gevoeligheid van de gegevens is doorgaans lager dan bij kernsystemen zoals het EZPD.</t>
    </r>
  </si>
  <si>
    <t>Systeem Back-ups</t>
  </si>
  <si>
    <t>Back-ups van sommige systemen worden door leverancier beheerd; interne zichtbaarheid beperkt.</t>
  </si>
  <si>
    <r>
      <rPr>
        <b/>
        <sz val="11"/>
        <color rgb="FF0000FF"/>
        <rFont val="Calibri"/>
      </rPr>
      <t xml:space="preserve">Beschikbaarheid is hoog: </t>
    </r>
    <r>
      <rPr>
        <sz val="11"/>
        <color rgb="FF0000FF"/>
        <rFont val="Calibri"/>
      </rPr>
      <t xml:space="preserve">Back-ups zijn essentieel voor herstel na storingen of incidenten en daarmee voor de continuïteit van </t>
    </r>
    <r>
      <rPr>
        <b/>
        <sz val="11"/>
        <color rgb="FF0000FF"/>
        <rFont val="Calibri"/>
      </rPr>
      <t xml:space="preserve">Integriteit is hoog: </t>
    </r>
    <r>
      <rPr>
        <sz val="11"/>
        <color rgb="FF0000FF"/>
        <rFont val="Calibri"/>
      </rPr>
      <t>onjuiste, incomplete of corrupte back-ups kunnen leiden tot dataverlies of onbetrouwbaar herstel</t>
    </r>
    <r>
      <rPr>
        <b/>
        <sz val="11"/>
        <color rgb="FF0000FF"/>
        <rFont val="Calibri"/>
      </rPr>
      <t xml:space="preserve"> Vertrouwlijkheid is hoog: </t>
    </r>
    <r>
      <rPr>
        <sz val="11"/>
        <color rgb="FF0000FF"/>
        <rFont val="Calibri"/>
      </rPr>
      <t>back-ups bevatten kopieën van systemen met (bijzondere) persoonsgegevens, waaronder medische gegevens</t>
    </r>
  </si>
  <si>
    <t>reflectieverslagen/ cassusen gebaseerd op echte zorgsituaties</t>
  </si>
  <si>
    <t>In de DLO worden regelmatig casussen gebruikt die zijn gebaseerd op echte zorgsituaties. Hoewel deze casussen bedoeld zijn om geanonimiseerd te zijn, blijkt in de praktijk dat in reflectieverslagen soms indirect herleidbare patiëntinformatie wordt opgenomen</t>
  </si>
  <si>
    <r>
      <rPr>
        <b/>
        <sz val="11"/>
        <color rgb="FF0000FF"/>
        <rFont val="Calibri"/>
      </rPr>
      <t>Beschikbaarheid is Laag</t>
    </r>
    <r>
      <rPr>
        <sz val="11"/>
        <color rgb="FF0000FF"/>
        <rFont val="Calibri"/>
      </rPr>
      <t xml:space="preserve">: reflectieverslagen zijn belangrijk voor onderwijs en toetsing, maar tijdelijke onbeschikbaarheid leidt niet direct tot verstoring van primaire zorgprocessen. </t>
    </r>
    <r>
      <rPr>
        <b/>
        <sz val="11"/>
        <color rgb="FF0000FF"/>
        <rFont val="Calibri"/>
      </rPr>
      <t>Integriteit is hoog</t>
    </r>
    <r>
      <rPr>
        <sz val="11"/>
        <color rgb="FF0000FF"/>
        <rFont val="Calibri"/>
      </rPr>
      <t xml:space="preserve">: onjuiste of aangepaste verslagen kunnen leiden tot verkeerde beoordeling, misinterpretatie van zorgsituaties en aantasting van onderwijskwaliteit. </t>
    </r>
    <r>
      <rPr>
        <b/>
        <sz val="11"/>
        <color rgb="FF0000FF"/>
        <rFont val="Calibri"/>
      </rPr>
      <t>Vertrouwelijkheid is hoog</t>
    </r>
    <r>
      <rPr>
        <sz val="11"/>
        <color rgb="FF0000FF"/>
        <rFont val="Calibri"/>
      </rPr>
      <t>: verslagen kunnen (indirect) herleidbare patiëntinformatie bevatten, waaronder mogelijk bijzondere persoonsgegevens zoals medische gegevens, wat bij onbevoegde inzage kan leiden tot privacy-inbreuken en AVG-risico’s.</t>
    </r>
  </si>
  <si>
    <t>Asset</t>
  </si>
  <si>
    <t>Laag</t>
  </si>
  <si>
    <t>Waarom kroonjuweel?</t>
  </si>
  <si>
    <t>Impact bij uitval</t>
  </si>
  <si>
    <t>Geraakte processen</t>
  </si>
  <si>
    <t>Informatie-, data- en applicatielaag</t>
  </si>
  <si>
    <t>Primair zorginformatiesysteem met medische kerngegevens.</t>
  </si>
  <si>
    <t>Direct risico voor patientveiligheid, zorg kan niet worden geleverd.</t>
  </si>
  <si>
    <t>Zorgverlening, medicatiebeheer, diagnostiek.</t>
  </si>
  <si>
    <t>Bedrijfsprocessenlaag</t>
  </si>
  <si>
    <t>Kernproces van de organisatie, medewerkers kunnen hun werk niet uitvoeren.</t>
  </si>
  <si>
    <t>Directe verstoring of stopzetting van zorg.</t>
  </si>
  <si>
    <t>Patient behandeling, overdracht, acute zorg.</t>
  </si>
  <si>
    <t>Cloudomgeving (EZPD hosting)</t>
  </si>
  <si>
    <t>Infrastructuurlaag</t>
  </si>
  <si>
    <t>EZPD is afhankelijk van deze hybride cloudomgeving, waarbij het gehost wordt op interne en externe netwerk.</t>
  </si>
  <si>
    <t xml:space="preserve">Uitval van EZPD en digitale zorg. </t>
  </si>
  <si>
    <t>Zorgverlening, patiëntendossiers. Het vastleggen en raadplegen van patiëntgegevens, medicatiebeheer, diagnostiek en behandelplannen en communicatie met externe zorgpartners (zoals laboratoria).</t>
  </si>
  <si>
    <t>Regelt toegang tot gebruikersaccounts.</t>
  </si>
  <si>
    <t>Geen toegang tot systemen of onbevoegde toegang.</t>
  </si>
  <si>
    <t>Alle zorg- en ondersteunende processen. Medewerkers kunnen niet in hun gebruikersaccount.</t>
  </si>
  <si>
    <t>Netwerkinfrastructuur</t>
  </si>
  <si>
    <t>Verbindt locaties, systemen en gebruikers.</t>
  </si>
  <si>
    <t>Geen systeemtoegang en communicatie.</t>
  </si>
  <si>
    <t>Zorgverlening, externe samenwerking. Alle assets liggen plat.</t>
  </si>
  <si>
    <t>Wet / Richtlijn</t>
  </si>
  <si>
    <t>Dreiging</t>
  </si>
  <si>
    <t>Kwetsbaarheid</t>
  </si>
  <si>
    <t>Impact</t>
  </si>
  <si>
    <t>Wet-artikel / Principe</t>
  </si>
  <si>
    <t>Toelichting</t>
  </si>
  <si>
    <t>AVG</t>
  </si>
  <si>
    <t>Onbevoegde inzage / misbruik van patiëntgegevens.</t>
  </si>
  <si>
    <t>Rolautorisaties niet altijd actueel, MFA niet organisatiebreed afgedwongen.</t>
  </si>
  <si>
    <t>Een datalek kan mogelijk een zorgvertraging veroorzaken.</t>
  </si>
  <si>
    <t xml:space="preserve"> Art. 5 lid 1 sub f AVG (Beginselen inzake verwerking van persoonsgegevens), Art. 32 lid 1 AVG (Beveiliging van de verwerking).</t>
  </si>
  <si>
    <t>Het EZPD bevat bijzondere persoonsgegevens (medische dossiers). Onjuiste autorisaties of ontbrekende MFA kan leiden tot onbevoegde inzage en een datalek. Dit kan meldplicht en reputatieschade veroorzaken.</t>
  </si>
  <si>
    <t>DLO</t>
  </si>
  <si>
    <t>Onbedoelde openbaarmaking van (herleidbare) patiëntinformatie.</t>
  </si>
  <si>
    <t>Casussen/reflectieverslagen niet altijd goed geanonimiseerd, autorisaties/oud-stagiair accounts niet opgeschoond.</t>
  </si>
  <si>
    <t>Het is mogelijk dat onbevoegden toegang krijgen tot patiëntinformatie.</t>
  </si>
  <si>
    <t>Art. 9 lid 1 AVG (Verwerking van bijzondere categorieën van persoonsgegevens),  Art. 32 AVG (Beveiliging van de verwerking).</t>
  </si>
  <si>
    <t>In de DLO worden casussen gebruikt die soms indirect herleidbaar zijn. Als (ex-)stagiairs te brede toegang hebben, ontstaat een onrechtmatige verwerking en datalek-risico.</t>
  </si>
  <si>
    <t>Gebruikersaccounts / Identity Management</t>
  </si>
  <si>
    <t>Accountovername door phishing.</t>
  </si>
  <si>
    <t>Wachtwoordhergebruik, beperkte security awareness, MFA niet voor alle gebruikers verplicht.</t>
  </si>
  <si>
    <t>Dit vergroot de kans op datalekken en daardoor kan manipulatie van dossiers plaatsvinden.</t>
  </si>
  <si>
    <t>Art. 32 AVG (Beveiliging van de verwerking), Art. 33 AVG (Melding van een inbreuk in verband met persoonsgegevens aan de autoriteit toezichthoudende autoriteit), Art. 34 AVG (Mededeling van een inbreuk in verband met persoonsgegevens aan de betrokkene).</t>
  </si>
  <si>
    <t>Er is al een phishing-incident geweest. Met een overgenomen account kan een aanvaller medische gegevens inzien of wijzigen, wat leidt tot datalekken en mogelijke patiëntveiligheidsimpact.</t>
  </si>
  <si>
    <t>Datalek via internet-exposed portaal/API-koppelingen.</t>
  </si>
  <si>
    <t>Direct aan internet blootgesteld, API-koppelingen (REST/FHIR) kunnen foutief geconfigureerd of onvoldoende gelogd zijn.</t>
  </si>
  <si>
    <t>Onbevoegden kunnen mogelijk toegang krijgen tot patiëntgegevens of systemen, wat kan leiden tot privacy-schending en verstoring van de continuïteit van zorg op afstand.</t>
  </si>
  <si>
    <t xml:space="preserve"> Art. 5 lid 1 sub f AVG (Beginselen inzake verwerking van persoonsgegevens), Art. 32 lid 1 AVG (Beveiliging van de verwerking), Art. 25 AVG (Gegevensbescherming door ontwerp en door standaardinstellingen).</t>
  </si>
  <si>
    <t>Vanguard Connect verwerkt medische gegevens en is een primair patiëntenportaal. Kwetsbaarheden in webapp/API’s kunnen leiden tot grootschalige blootstelling van patiëntdata.</t>
  </si>
  <si>
    <t>NIS2</t>
  </si>
  <si>
    <t>EZPD (cloud/hybride hosting)</t>
  </si>
  <si>
    <t>Onbeschikbaarheid door storing bij cloudleverancier.</t>
  </si>
  <si>
    <t>Sterke afhankelijkheid van externe leverancier, beperkte zichtbaarheid op back-up/BCP.</t>
  </si>
  <si>
    <t>Een storing of incident bij de cloudleverancier kan de continuïteit van de zorg verstoren en de patiëntveiligheid in gevaar brengen.</t>
  </si>
  <si>
    <t>Art. 21 lid 2 sub b en c Cyberbeveiligingswet (Cybersecurity riskmanagement measures), Art. 23 lid 1 en 4 Cyberbeveiligingswet (reporting obligations).</t>
  </si>
  <si>
    <t>Er was al downtime door een netwerkissue bij de leverancier. Onbeschikbaarheid van EZPD verstoort medicatie, diagnostiek en overdracht van patiëntinformatie.</t>
  </si>
  <si>
    <t>Ransomware/ malware verspreiding binnen organisatie.</t>
  </si>
  <si>
    <t>Mix van oude en nieuwe systemen, beperkte monitoring, processen vooral reactief.</t>
  </si>
  <si>
    <t>Zorgproces kan stilvallen door verstoringen.</t>
  </si>
  <si>
    <t>Art. 21 Cyberbeveiligingswet ( Cybersecurity riskmanagement measures), Art. 23 lid 1 en 4 Cyberbeveiligingswet (reporting obligations).</t>
  </si>
  <si>
    <t>Ransomware kan kernsystemen versleutelen en locaties ontregelen. Voor een zorginstelling heeft dit direct impact op continuïteit en patiëntveiligheid en vereist snelle incidentrespons.</t>
  </si>
  <si>
    <t>Compromitteren van medische apparatuur (malware/remote exploit).</t>
  </si>
  <si>
    <t>Verouderde software, geen structurele updates, soms op hetzelfde segment als werkplekken.</t>
  </si>
  <si>
    <t>Patiëntveiligheid kan in gevaar komen door kwetsbaarheden of systeemstoringen.</t>
  </si>
  <si>
    <t>Art. 21 lid 2 sub e, i en j Cyberbeveiligingwet (Cybersecurity riskmanagement measures).</t>
  </si>
  <si>
    <t>Medische apparatuur is functioneel noodzakelijk, maar vormt een aanvalsvlak. Compromittering kan monitoring of toediening beïnvloeden en daarmee direct risico geven voor patiënten.</t>
  </si>
  <si>
    <t>Netwerkinfrastructuur (OT/PLC gekoppeld)</t>
  </si>
  <si>
    <t>Cyberaanval op PLC/HMI (slimme verlichting SEH/ICU), verstoring kritieke zorgomgeving.</t>
  </si>
  <si>
    <t>OT-componenten gekoppeld aan netwerk, signalen van ongewenste lichtfluctuaties.</t>
  </si>
  <si>
    <t>Patiëntveiligheid kan worden bedreigd door storingen in kritische systemen.</t>
  </si>
  <si>
    <t>Art. 21 lid 2 sub a, b, c (Cybersecurity riskmanagement measures).</t>
  </si>
  <si>
    <t>Verlichting op SEH/ICU is onderdeel van kritieke processen. Manipulatie kan zorgmomenten verstoren en vraagt om OT-segmentatie, monitoring en incidentprocedures.</t>
  </si>
  <si>
    <t>NIS2/ AVG (verwerkers)</t>
  </si>
  <si>
    <t>Beveiligingsincident of non-compliance bij leverancier, impact op Vanguard.</t>
  </si>
  <si>
    <t>Contracten/SLA’s historisch gegroeid en niet aantoonbaar afgestemd op actuele eisen, beperkte auditbaarheid.</t>
  </si>
  <si>
    <t>Ketenrisico en compliance-problemen kunnen leiden tot verstoring van zorg en aansprakelijkheid.</t>
  </si>
  <si>
    <t>Art. 21 lid 2 sub d (Cybersecurity riskmanagement measures), Art. 28 AVG (Verwerker).</t>
  </si>
  <si>
    <t>Vanguard gebruikt cloud/ICT/IoT leveranciers en blijft eindverantwoordelijk voor continuïteit en privacy. Onvoldoende ketenafspraken vergroten risico op uitval, datalekken en auditbevindingen.</t>
  </si>
  <si>
    <t>NIS2/ AVG</t>
  </si>
  <si>
    <t>Onbevoegde toegang via externe accounts/VPN.</t>
  </si>
  <si>
    <t>VPN-toegang wordt niet standaard per kwartaal herzien, externe accounts (tijdelijke rollen) kunnen blijven bestaan.</t>
  </si>
  <si>
    <t>Onbevoegden kunnen toegang krijgen, wat kan leiden tot datalekken of ongeautoriseerde acties.</t>
  </si>
  <si>
    <t>Art. 21 lid 2 sub i en j Cyberbeveiligingswet (Cybersecurity riskmanagement measures), Art. 32 AVG (Beveiliging van de verwerking).</t>
  </si>
  <si>
    <t>Externe zorgprofessionals hebben toegang tot interne systemen. Zonder periodieke recertificatie en strakke offboarding kan ongeautoriseerde toegang ontstaan, met direct datalek- en patiëntveiligheidsrisico.</t>
  </si>
  <si>
    <t>Bronnen</t>
  </si>
  <si>
    <t>https://gdpr-text.com/nl/</t>
  </si>
  <si>
    <t>https://www.nis-2-directive.com/NIS_2_Directive_Articles.html</t>
  </si>
  <si>
    <t>Leverancier</t>
  </si>
  <si>
    <t>Dienst</t>
  </si>
  <si>
    <t>Geraakte assets</t>
  </si>
  <si>
    <t>Afhankelijkheid</t>
  </si>
  <si>
    <t>Ketenrisico</t>
  </si>
  <si>
    <t>EZPD-cloudleverancier</t>
  </si>
  <si>
    <t>Hosting, beheer, updates en back-updiensten voor EZPD (hybride cloud).</t>
  </si>
  <si>
    <t>EZPD, patiëntdossiers, medicatiegegevens, labkoppelingen.</t>
  </si>
  <si>
    <t>Hoog (24/7 afhankelijk voor primaire zorgprocessen).</t>
  </si>
  <si>
    <t>Storing bij cloudleverancier of falend herstelproces, EZPD onbeschikbaar, zorgproces vertraagt/stopt, meldplicht-risico bij datalek.</t>
  </si>
  <si>
    <t>Continuïteit, patiëntveiligheid, compliance.</t>
  </si>
  <si>
    <t>Microsoft/Azure AD (Identity/Federatie)</t>
  </si>
  <si>
    <t>Identity provider, federatieve authenticatie voor zorgverleners, mail/tenantdiensten.</t>
  </si>
  <si>
    <t>IAM, Vanguard Connect-toegang, interne accounts, e-mail.</t>
  </si>
  <si>
    <t>Hoog (centrale toegangspoort tot meerdere systemen).</t>
  </si>
  <si>
    <t>Uitval of compromise van identity-keten,  geen toegang of ongeautoriseerde toegang tot kritieke zorgsystemen.</t>
  </si>
  <si>
    <t>Toegangscontinuïteit, security.</t>
  </si>
  <si>
    <t>Extern diagnostisch laboratorium</t>
  </si>
  <si>
    <t>Aanlevering labuitslagen via API/portaal naar EZPD.</t>
  </si>
  <si>
    <t>EZPD, diagnostiek-workflow, patiëntgegevens.</t>
  </si>
  <si>
    <t>Middel (diagnostiek en behandeling afhankelijk van tijdige/integere data).</t>
  </si>
  <si>
    <t>Koppelingsstoring of datamanipulatie in de keten,  vertraagde of foutieve uitslagen, risico op verkeerde behandelbeslissing.</t>
  </si>
  <si>
    <t>Integriteit, patiëntveiligheid.</t>
  </si>
  <si>
    <t>Leverancier medische IoT-monitoring</t>
  </si>
  <si>
    <t>Medische apparatuur, devicebeheer en datadoorstuur naar EZPD.</t>
  </si>
  <si>
    <t>Medische IoT, monitoringdata, netwerksegmenten.</t>
  </si>
  <si>
    <t>Hoog (direct in zorgproces en patiëntmonitoring).</t>
  </si>
  <si>
    <t>Kwetsbare firmware of onveilige leveranciersupdate (supply-chain), compromittering apparatuur of datastroom.</t>
  </si>
  <si>
    <t>Beschikbaarheid, integriteit, patiëntveiligheid.</t>
  </si>
  <si>
    <t>Externe ICT-partner (netwerkbeheer op afroep)</t>
  </si>
  <si>
    <t>Ondersteuning netwerkbeheer, storingsopvolging en wijzigingen.</t>
  </si>
  <si>
    <t>WAN/LAN, routers/switches, VPN, firewallconfiguraties.</t>
  </si>
  <si>
    <t>Middel (operationele ondersteuning, vooral bij incidenten).</t>
  </si>
  <si>
    <t>Onvoldoende contractuele responsetijden/security-eisen, trage incidentafhandeling en langere verstoring.</t>
  </si>
  <si>
    <t>Responstijd, herstel, auditbaarheid.</t>
  </si>
  <si>
    <t>KPN WAN-provider</t>
  </si>
  <si>
    <t>Glasvezel WAN-verbinding tussen locaties.</t>
  </si>
  <si>
    <t>Interlocatieverkeer, toegang tot centrale systemen/EZPD.</t>
  </si>
  <si>
    <t>Hoog (meerdere locaties afhankelijk van dezelfde keten).</t>
  </si>
  <si>
    <t>Providerstoring of enkelvoudige afhankelijkheid, locaties geïsoleerd en toegang tot centrale zorgsystemen beperkt.</t>
  </si>
  <si>
    <t>Continuïteit en bedrijfsvoering.</t>
  </si>
  <si>
    <t>Risico-ID</t>
  </si>
  <si>
    <t>Kans</t>
  </si>
  <si>
    <t>Score (num)</t>
  </si>
  <si>
    <t>Risico (L/M/H)</t>
  </si>
  <si>
    <t>NIST</t>
  </si>
  <si>
    <t>ISO/NEN</t>
  </si>
  <si>
    <t>Instructie</t>
  </si>
  <si>
    <t>EZPD, Vanguard Connect en gebruikersaccounts</t>
  </si>
  <si>
    <t>Phishing / credential theft leidt tot ongeautoriseerde toegang</t>
  </si>
  <si>
    <t>Awareness/werkdruk; hergebruik wachtwoorden; MFA niet organisatiebreed; beperkte monitoring</t>
  </si>
  <si>
    <t>Protect</t>
  </si>
  <si>
    <t>ISO 27005 (risicoanalyse); NEN 7510 (bewustwording &amp; toegangsbeveiliging)</t>
  </si>
  <si>
    <t>Vul Kans en Impact in als L/M/H. Score en Risico worden automatisch berekend.</t>
  </si>
  <si>
    <t xml:space="preserve">Infrastructuur laag </t>
  </si>
  <si>
    <t>Cloud hosting, Identity Management</t>
  </si>
  <si>
    <t>Account takeover / brute-force / password spraying</t>
  </si>
  <si>
    <t>MFA alleen voor beheerders; inconsistent afdwingen sterke authenticatie; onvoldoende detectie op verdachte logins</t>
  </si>
  <si>
    <t>ISO 27005; NEN 7510 (authenticatie/autorisa tie)</t>
  </si>
  <si>
    <t>Ongewenste inzage door (ex-)stagiairs/studenten</t>
  </si>
  <si>
    <t>Accounts niet tijdig gedeprovisioneerd; autorisaties niet actueel; toegangsgroepen niet periodiek gereviewd</t>
  </si>
  <si>
    <t>Identify</t>
  </si>
  <si>
    <t>ISO 27005; NEN 7510 (toegangsbeheer, account lifecycle)</t>
  </si>
  <si>
    <t>DLO + reflectieverslagen/casussen gebaseerd op echte zorgsituaties</t>
  </si>
  <si>
    <t>Privacy-incident door herleidbare patiëntinformatie in leeromgeving</t>
  </si>
  <si>
    <t>Anonimisering faalt in praktijk; onvoldoende richtlijnen/controle; brede deelrechten</t>
  </si>
  <si>
    <t>ISO 27005; NEN 7510 (privacybescherming, classificatie)</t>
  </si>
  <si>
    <t>HR en Planning + Identity management</t>
  </si>
  <si>
    <t>Privilege creep / onjuiste autorisaties na functiewijzigingen</t>
  </si>
  <si>
    <t>Autorisaties afhankelijk van correcte invoer; functiewijzigingen/contract-einde niet tijdig verwerkt</t>
  </si>
  <si>
    <t>ISO 27005; NEN 7510 (autorisatiebeheer, SoD)</t>
  </si>
  <si>
    <t>VPN-toegang voor externe zorgprofessionals</t>
  </si>
  <si>
    <t>Misbruik van VPN-account of compromised endpoint leidt tot netwerktoegang</t>
  </si>
  <si>
    <t>VPN-toegang niet standaard per kwartaal herzien; beperkte device-compliance checks</t>
  </si>
  <si>
    <t>ISO 27005; NEN 7510 (remote access, endpoint security)</t>
  </si>
  <si>
    <t>Onbeschikbaarheid door storing bij cloudleverancier</t>
  </si>
  <si>
    <t>Afhankelijkheid externe leverancier; beperkte zichtbaarheid op SLA/BCP; eerdere downtime (2 uur)</t>
  </si>
  <si>
    <t>Recover</t>
  </si>
  <si>
    <t>ISO 27005; NEN 7510 (continuïteit/BCM)</t>
  </si>
  <si>
    <t>Ransomware of datacorruptie → herstel faalt / lange uitval</t>
  </si>
  <si>
    <t>Back-ups deels leverancier-beheerd; beperkte interne zichtbaarheid/testen; onduidelijke RTO/RPO</t>
  </si>
  <si>
    <t>ISO 27005; NEN 7510 (back-up, hersteltesten)</t>
  </si>
  <si>
    <t xml:space="preserve">Infrastructuurlaag </t>
  </si>
  <si>
    <t xml:space="preserve">Medische IoT-apparatuur </t>
  </si>
  <si>
    <t>Exploit van kwetsbare IoT leidt tot verstoring of datamanipulatie</t>
  </si>
  <si>
    <t>Verouderde software; geen structurele patching; beperkte hardening; leverancier-afhankelijk</t>
  </si>
  <si>
    <t>ISO 27005; NEN 7510 (patchmanagement, asset management)</t>
  </si>
  <si>
    <t>Netwerksegmentatie (IoT vs werkplekken)</t>
  </si>
  <si>
    <t>Laterale beweging van werkplek naar medische apparatuur of EZPD</t>
  </si>
  <si>
    <t>IoT-apparatuur zit op sommige afdelingen in hetzelfde segment als werkplekken</t>
  </si>
  <si>
    <t>ISO 27005; NEN 7510 (netwerksegmentatie, least privilege)</t>
  </si>
  <si>
    <t>Routers/Switches</t>
  </si>
  <si>
    <t>Een aanvaller die het netwerk binnendringt via de beheer ingang</t>
  </si>
  <si>
    <t>Telnet actief; SNMP community 'public' met read-write; (plain-text) wachtwoorden in config</t>
  </si>
  <si>
    <t>ISO 27005; NEN 7510 (netwerkbeheer, veilige configuratie)</t>
  </si>
  <si>
    <t>PLC-gestuurde slimme verlichting (SEH/ICU)</t>
  </si>
  <si>
    <t>Cyberaanval op PLC, ongewenste lichtfluctuaties tijdens kritieke zorg</t>
  </si>
  <si>
    <t>PLC verbonden met netwerk; OT-security/monitoring beperkt; al meldingen van fluctuaties</t>
  </si>
  <si>
    <t>Detect</t>
  </si>
  <si>
    <t>ISO 27005; IEC 62443 (OT); NEN 7510 (continuïteit/patiëntveiligheid)</t>
  </si>
  <si>
    <t>Risicomatrix (aantal risico's)</t>
  </si>
  <si>
    <t>Kans \ Impact</t>
  </si>
  <si>
    <t>Midden</t>
  </si>
  <si>
    <t>Hoog</t>
  </si>
  <si>
    <t>Legenda</t>
  </si>
  <si>
    <t>Laag=L</t>
  </si>
  <si>
    <t>Midden=M</t>
  </si>
  <si>
    <t>Hoog=H</t>
  </si>
  <si>
    <t>Trigger</t>
  </si>
  <si>
    <t>Aanvalspad (stappen 1–7)</t>
  </si>
  <si>
    <t>Impact (incl. patiëntveiligheid)</t>
  </si>
  <si>
    <t>Detectie faalt omdat</t>
  </si>
  <si>
    <t>Geraakte lagen</t>
  </si>
  <si>
    <t>Rang</t>
  </si>
  <si>
    <t>Score</t>
  </si>
  <si>
    <t>Omschrijving (asset + dreiging)</t>
  </si>
  <si>
    <t>Waarom top 5</t>
  </si>
  <si>
    <t>Patiëntimpact</t>
  </si>
  <si>
    <t>Compliance-impact</t>
  </si>
  <si>
    <t>Type maatregel</t>
  </si>
  <si>
    <t>Maatregel</t>
  </si>
  <si>
    <t>Rol (owner)</t>
  </si>
  <si>
    <t>Norm/Best practice</t>
  </si>
  <si>
    <t>Evidence (bewijs)</t>
  </si>
  <si>
    <t>Fase</t>
  </si>
  <si>
    <t>Verantwoordelijke</t>
  </si>
  <si>
    <t>Resultaat / KPI</t>
  </si>
  <si>
    <t>Vraag</t>
  </si>
  <si>
    <t>Antwoord</t>
  </si>
  <si>
    <t>Wat was jouw rol in het team?</t>
  </si>
  <si>
    <t>Wat vond je het lastigst en waarom?</t>
  </si>
  <si>
    <t>Welke risico’s verrasten je het meest?</t>
  </si>
  <si>
    <t>Wat zou je in de praktijk anders doen?</t>
  </si>
  <si>
    <t>Welke informatie miste je in de casus en hoe zou je dat ophalen?</t>
  </si>
  <si>
    <t>Welke maatregel heeft volgens jou de grootste impact en waarom?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</si>
</sst>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Calibri"/>
      <family val="2"/>
      <scheme val="minor"/>
    </font>
    <font>
      <b/>
      <sz val="11"/>
      <name val="Calibri"/>
      <family val="2"/>
    </font>
    <font>
      <sz val="11"/>
      <name val="Calibri"/>
      <family val="2"/>
    </font>
    <font>
      <b/>
      <sz val="14"/>
      <color rgb="FFFFFFFF"/>
      <name val="Calibri"/>
      <family val="2"/>
    </font>
    <font>
      <b/>
      <sz val="11"/>
      <color rgb="FFFFFFFF"/>
      <name val="Calibri"/>
      <family val="2"/>
    </font>
    <font>
      <sz val="11"/>
      <color rgb="FF000000"/>
      <name val="Calibri"/>
      <family val="2"/>
    </font>
    <font>
      <sz val="11"/>
      <color rgb="FF0000FF"/>
      <name val="Calibri"/>
      <family val="2"/>
    </font>
    <font>
      <sz val="11"/>
      <color rgb="FF0000FF"/>
      <name val="Calibri"/>
    </font>
    <font>
      <b/>
      <sz val="11"/>
      <color rgb="FF0000FF"/>
      <name val="Calibri"/>
    </font>
    <font>
      <u/>
      <sz val="11"/>
      <color theme="10"/>
      <name val="Calibri"/>
      <family val="2"/>
      <scheme val="minor"/>
    </font>
    <font>
      <sz val="11"/>
      <color rgb="FF0000FF"/>
      <name val="Aptos Narrow"/>
    </font>
    <font>
      <sz val="11"/>
      <color rgb="FF0000FF"/>
      <name val="Aptos Narrow"/>
      <family val="2"/>
    </font>
    <font>
      <sz val="11"/>
      <color rgb="FF0000FF"/>
      <name val="Calibri"/>
      <charset val="1"/>
    </font>
    <font>
      <b/>
      <sz val="11"/>
      <color rgb="FFFFFFFF"/>
      <name val="Calibri"/>
    </font>
    <font>
      <sz val="11"/>
      <color rgb="FF000000"/>
      <name val="Calibri"/>
    </font>
    <font>
      <sz val="11"/>
      <color rgb="FF0000FF"/>
      <name val="Calibri"/>
      <family val="2"/>
      <scheme val="minor"/>
    </font>
    <font>
      <sz val="11"/>
      <color theme="1"/>
      <name val="Calibri"/>
      <family val="2"/>
    </font>
  </fonts>
  <fills count="9">
    <fill>
      <patternFill patternType="none"/>
    </fill>
    <fill>
      <patternFill patternType="gray125"/>
    </fill>
    <fill>
      <patternFill patternType="solid">
        <fgColor rgb="FF1F4E79"/>
      </patternFill>
    </fill>
    <fill>
      <patternFill patternType="solid">
        <fgColor rgb="FFD9E1F2"/>
      </patternFill>
    </fill>
    <fill>
      <patternFill patternType="solid">
        <fgColor rgb="FFFFFFFF"/>
      </patternFill>
    </fill>
    <fill>
      <patternFill patternType="solid">
        <fgColor rgb="FFFF0000"/>
        <bgColor indexed="64"/>
      </patternFill>
    </fill>
    <fill>
      <patternFill patternType="solid">
        <fgColor rgb="FFFFFF00"/>
        <bgColor indexed="64"/>
      </patternFill>
    </fill>
    <fill>
      <patternFill patternType="solid">
        <fgColor rgb="FF00B050"/>
        <bgColor indexed="64"/>
      </patternFill>
    </fill>
    <fill>
      <patternFill patternType="solid">
        <fgColor theme="0"/>
        <bgColor indexed="64"/>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bottom style="thin">
        <color rgb="FFBFBFBF"/>
      </bottom>
      <diagonal/>
    </border>
    <border>
      <left/>
      <right/>
      <top/>
      <bottom style="thin">
        <color rgb="FFBFBFBF"/>
      </bottom>
      <diagonal/>
    </border>
    <border>
      <left/>
      <right style="thin">
        <color rgb="FFBFBFBF"/>
      </right>
      <top/>
      <bottom style="thin">
        <color rgb="FFBFBFBF"/>
      </bottom>
      <diagonal/>
    </border>
  </borders>
  <cellStyleXfs count="2">
    <xf numFmtId="0" fontId="0" fillId="0" borderId="0"/>
    <xf numFmtId="0" fontId="9" fillId="0" borderId="0" applyNumberFormat="0" applyFill="0" applyBorder="0" applyAlignment="0" applyProtection="0"/>
  </cellStyleXfs>
  <cellXfs count="55">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4" fillId="2" borderId="1" xfId="0" applyFont="1" applyFill="1" applyBorder="1" applyAlignment="1">
      <alignment horizontal="center" vertical="center" wrapText="1"/>
    </xf>
    <xf numFmtId="0" fontId="2" fillId="0" borderId="1" xfId="0" applyFont="1" applyBorder="1" applyAlignment="1">
      <alignment horizontal="left" vertical="top" wrapText="1"/>
    </xf>
    <xf numFmtId="0" fontId="5" fillId="0" borderId="1" xfId="0" applyFont="1" applyBorder="1" applyAlignment="1">
      <alignment horizontal="center" vertical="center" wrapText="1"/>
    </xf>
    <xf numFmtId="0" fontId="1" fillId="0" borderId="1" xfId="0" applyFont="1" applyBorder="1" applyAlignment="1">
      <alignment horizontal="left" vertical="top" wrapText="1"/>
    </xf>
    <xf numFmtId="0" fontId="6" fillId="0" borderId="1" xfId="0" applyFont="1" applyBorder="1" applyAlignment="1">
      <alignment horizontal="left" vertical="top" wrapText="1"/>
    </xf>
    <xf numFmtId="0" fontId="6" fillId="0" borderId="1" xfId="0" applyFont="1" applyBorder="1" applyAlignment="1">
      <alignment horizontal="center" vertical="center" wrapText="1"/>
    </xf>
    <xf numFmtId="0" fontId="5" fillId="0" borderId="0" xfId="0" applyFont="1" applyAlignment="1">
      <alignment horizontal="center" vertical="center" wrapText="1"/>
    </xf>
    <xf numFmtId="1" fontId="5" fillId="0" borderId="1" xfId="0" applyNumberFormat="1" applyFont="1" applyBorder="1" applyAlignment="1">
      <alignment horizontal="center" vertical="center" wrapText="1"/>
    </xf>
    <xf numFmtId="0" fontId="0" fillId="0" borderId="0" xfId="0" applyAlignment="1">
      <alignment horizontal="left" vertical="top" wrapText="1"/>
    </xf>
    <xf numFmtId="0" fontId="5" fillId="4" borderId="1" xfId="0" applyFont="1" applyFill="1" applyBorder="1" applyAlignment="1">
      <alignment horizontal="center" vertical="center" wrapText="1"/>
    </xf>
    <xf numFmtId="0" fontId="5" fillId="0" borderId="1" xfId="0" applyFont="1" applyBorder="1" applyAlignment="1">
      <alignment horizontal="left" vertical="top" wrapText="1"/>
    </xf>
    <xf numFmtId="0" fontId="7" fillId="0" borderId="1" xfId="0" applyFont="1" applyBorder="1" applyAlignment="1">
      <alignment horizontal="left" vertical="top" wrapText="1"/>
    </xf>
    <xf numFmtId="0" fontId="0" fillId="0" borderId="0" xfId="0">
      <extLst>
        <ext xmlns:xfpb="http://schemas.microsoft.com/office/spreadsheetml/2022/featurepropertybag" uri="{C7286773-470A-42A8-94C5-96B5CB345126}">
          <xfpb:xfComplement i="0"/>
        </ext>
      </extLst>
    </xf>
    <xf numFmtId="0" fontId="4" fillId="2" borderId="1" xfId="0" applyFont="1" applyFill="1" applyBorder="1" applyAlignment="1">
      <alignment horizontal="center" vertical="top" wrapText="1"/>
    </xf>
    <xf numFmtId="0" fontId="10" fillId="0" borderId="1" xfId="0" applyFont="1" applyBorder="1" applyAlignment="1">
      <alignment vertical="top" wrapText="1"/>
    </xf>
    <xf numFmtId="0" fontId="0" fillId="0" borderId="0" xfId="0" applyAlignment="1">
      <alignment vertical="top" wrapText="1"/>
    </xf>
    <xf numFmtId="0" fontId="10" fillId="0" borderId="1" xfId="0" applyFont="1" applyBorder="1" applyAlignment="1">
      <alignment vertical="top"/>
    </xf>
    <xf numFmtId="0" fontId="0" fillId="0" borderId="0" xfId="0" applyAlignment="1">
      <alignment vertical="top"/>
    </xf>
    <xf numFmtId="0" fontId="4" fillId="2" borderId="1" xfId="0" applyFont="1" applyFill="1" applyBorder="1" applyAlignment="1">
      <alignment horizontal="center" vertical="top"/>
    </xf>
    <xf numFmtId="0" fontId="6" fillId="0" borderId="1" xfId="0" applyFont="1" applyBorder="1" applyAlignment="1">
      <alignment horizontal="left" vertical="top"/>
    </xf>
    <xf numFmtId="0" fontId="10" fillId="0" borderId="1" xfId="0" applyFont="1" applyBorder="1" applyAlignment="1">
      <alignment wrapText="1"/>
    </xf>
    <xf numFmtId="0" fontId="0" fillId="0" borderId="0" xfId="0" applyAlignment="1">
      <alignment wrapText="1"/>
    </xf>
    <xf numFmtId="0" fontId="9" fillId="0" borderId="1" xfId="1" applyBorder="1" applyAlignment="1">
      <alignment horizontal="left" vertical="top" wrapText="1"/>
    </xf>
    <xf numFmtId="0" fontId="9" fillId="0" borderId="0" xfId="1"/>
    <xf numFmtId="0" fontId="11" fillId="0" borderId="1" xfId="0" applyFont="1" applyBorder="1" applyAlignment="1">
      <alignment wrapText="1"/>
    </xf>
    <xf numFmtId="0" fontId="12" fillId="0" borderId="0" xfId="0" applyFont="1" applyAlignment="1">
      <alignment wrapText="1"/>
    </xf>
    <xf numFmtId="0" fontId="13" fillId="2"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7" fillId="0" borderId="1" xfId="0" applyFont="1" applyBorder="1" applyAlignment="1">
      <alignment horizontal="left" vertical="center" wrapText="1"/>
    </xf>
    <xf numFmtId="0" fontId="8" fillId="0" borderId="1" xfId="0" applyFont="1" applyBorder="1" applyAlignment="1">
      <alignment horizontal="left" vertical="center" wrapText="1"/>
    </xf>
    <xf numFmtId="0" fontId="15" fillId="0" borderId="0" xfId="0" applyFont="1" applyAlignment="1">
      <alignment wrapText="1"/>
    </xf>
    <xf numFmtId="1" fontId="14" fillId="0" borderId="1" xfId="0" applyNumberFormat="1" applyFont="1" applyBorder="1" applyAlignment="1">
      <alignment horizontal="center" vertical="center" wrapText="1"/>
    </xf>
    <xf numFmtId="0" fontId="5" fillId="5" borderId="1" xfId="0" applyFont="1" applyFill="1" applyBorder="1" applyAlignment="1">
      <alignment horizontal="center" vertical="center" wrapText="1"/>
    </xf>
    <xf numFmtId="0" fontId="0" fillId="6" borderId="0" xfId="0" applyFill="1" applyAlignment="1">
      <alignment horizontal="left" vertical="top" wrapText="1"/>
    </xf>
    <xf numFmtId="0" fontId="0" fillId="5" borderId="0" xfId="0" applyFill="1" applyAlignment="1">
      <alignment horizontal="left" vertical="top" wrapText="1"/>
    </xf>
    <xf numFmtId="0" fontId="0" fillId="7" borderId="0" xfId="0" applyFill="1" applyAlignment="1">
      <alignment horizontal="left" vertical="top" wrapText="1"/>
    </xf>
    <xf numFmtId="0" fontId="16" fillId="5"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1" fillId="3" borderId="0" xfId="0" applyFont="1" applyFill="1" applyAlignment="1">
      <alignment horizontal="left" vertical="top" wrapText="1"/>
    </xf>
    <xf numFmtId="0" fontId="3" fillId="2" borderId="0" xfId="0" applyFont="1" applyFill="1" applyAlignment="1">
      <alignment horizontal="center" vertical="center"/>
    </xf>
    <xf numFmtId="0" fontId="1" fillId="3" borderId="1" xfId="0" applyFont="1" applyFill="1" applyBorder="1" applyAlignment="1">
      <alignment horizontal="left" vertical="top" wrapText="1"/>
    </xf>
    <xf numFmtId="0" fontId="0" fillId="0" borderId="4" xfId="0" applyBorder="1" applyAlignment="1">
      <alignment wrapText="1"/>
    </xf>
    <xf numFmtId="0" fontId="0" fillId="0" borderId="5" xfId="0" applyBorder="1" applyAlignment="1">
      <alignment wrapText="1"/>
    </xf>
    <xf numFmtId="0" fontId="0" fillId="0" borderId="1" xfId="0" applyBorder="1" applyAlignment="1">
      <alignment horizontal="left" vertical="top" wrapText="1"/>
    </xf>
    <xf numFmtId="0" fontId="0" fillId="0" borderId="2" xfId="0" applyBorder="1" applyAlignment="1">
      <alignment wrapText="1"/>
    </xf>
    <xf numFmtId="0" fontId="0" fillId="0" borderId="3" xfId="0" applyBorder="1" applyAlignment="1">
      <alignment wrapText="1"/>
    </xf>
    <xf numFmtId="0" fontId="0" fillId="0" borderId="6" xfId="0" applyBorder="1" applyAlignment="1">
      <alignment wrapText="1"/>
    </xf>
    <xf numFmtId="0" fontId="0" fillId="0" borderId="7" xfId="0" applyBorder="1" applyAlignment="1">
      <alignment wrapText="1"/>
    </xf>
    <xf numFmtId="0" fontId="0" fillId="0" borderId="8" xfId="0" applyBorder="1" applyAlignment="1">
      <alignment wrapText="1"/>
    </xf>
    <xf numFmtId="0" fontId="4" fillId="2" borderId="0" xfId="0" applyFont="1" applyFill="1" applyAlignment="1">
      <alignment horizontal="center" vertical="center" wrapText="1"/>
    </xf>
    <xf numFmtId="0" fontId="0" fillId="0" borderId="0" xfId="0" applyAlignment="1"/>
  </cellXfs>
  <cellStyles count="2">
    <cellStyle name="Hyperlink" xfId="1" builtinId="8"/>
    <cellStyle name="Standaard" xfId="0" builtinId="0"/>
  </cellStyles>
  <dxfs count="7">
    <dxf>
      <fill>
        <patternFill>
          <bgColor rgb="FFFFC7CE"/>
        </patternFill>
      </fill>
    </dxf>
    <dxf>
      <fill>
        <patternFill>
          <bgColor rgb="FFFFC7CE"/>
        </patternFill>
      </fill>
    </dxf>
    <dxf>
      <fill>
        <patternFill>
          <bgColor rgb="FFFFEB9C"/>
        </patternFill>
      </fill>
    </dxf>
    <dxf>
      <fill>
        <patternFill>
          <bgColor rgb="FFFFC7CE"/>
        </patternFill>
      </fill>
    </dxf>
    <dxf>
      <fill>
        <patternFill>
          <bgColor rgb="FFFFEB9C"/>
        </patternFill>
      </fill>
    </dxf>
    <dxf>
      <fill>
        <patternFill>
          <bgColor rgb="FFC6EFCE"/>
        </patternFill>
      </fill>
    </dxf>
    <dxf>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1/relationships/FeaturePropertyBag" Target="featurePropertyBag/featurePropertyBag.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2" Type="http://schemas.openxmlformats.org/officeDocument/2006/relationships/hyperlink" Target="https://gdpr-text.com/nl/" TargetMode="External"/><Relationship Id="rId1" Type="http://schemas.openxmlformats.org/officeDocument/2006/relationships/hyperlink" Target="https://www.nis-2-directive.com/NIS_2_Directive_Article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
  <sheetViews>
    <sheetView workbookViewId="0"/>
  </sheetViews>
  <sheetFormatPr defaultRowHeight="14.45"/>
  <sheetData>
    <row r="1" spans="1:2">
      <c r="A1" s="1" t="s">
        <v>0</v>
      </c>
      <c r="B1" s="1" t="s">
        <v>1</v>
      </c>
    </row>
    <row r="2" spans="1:2">
      <c r="A2" s="2" t="s">
        <v>2</v>
      </c>
      <c r="B2" s="2">
        <v>1</v>
      </c>
    </row>
    <row r="3" spans="1:2">
      <c r="A3" s="2" t="s">
        <v>3</v>
      </c>
      <c r="B3" s="2">
        <v>2</v>
      </c>
    </row>
    <row r="4" spans="1:2">
      <c r="A4" s="2" t="s">
        <v>4</v>
      </c>
      <c r="B4" s="2">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
  <sheetViews>
    <sheetView showGridLines="0" workbookViewId="0">
      <selection activeCell="A16" sqref="A16"/>
    </sheetView>
  </sheetViews>
  <sheetFormatPr defaultRowHeight="14.45"/>
  <cols>
    <col min="1" max="1" width="45" customWidth="1"/>
    <col min="2" max="2" width="18" customWidth="1"/>
    <col min="3" max="3" width="3" customWidth="1"/>
    <col min="4" max="8" width="18" customWidth="1"/>
  </cols>
  <sheetData>
    <row r="1" spans="1:8" ht="28.15" customHeight="1">
      <c r="A1" s="43" t="s">
        <v>5</v>
      </c>
      <c r="B1" s="54"/>
      <c r="C1" s="54"/>
      <c r="D1" s="54"/>
      <c r="E1" s="54"/>
      <c r="F1" s="54"/>
      <c r="G1" s="54"/>
      <c r="H1" s="54"/>
    </row>
    <row r="3" spans="1:8">
      <c r="A3" s="42" t="s">
        <v>6</v>
      </c>
      <c r="B3" s="54"/>
      <c r="C3" s="54"/>
      <c r="D3" s="54"/>
      <c r="E3" s="54"/>
      <c r="F3" s="54"/>
      <c r="G3" s="54"/>
      <c r="H3" s="54"/>
    </row>
    <row r="4" spans="1:8">
      <c r="A4" s="3" t="s">
        <v>7</v>
      </c>
      <c r="B4" s="3" t="s">
        <v>8</v>
      </c>
    </row>
    <row r="5" spans="1:8">
      <c r="A5" s="4" t="s">
        <v>9</v>
      </c>
      <c r="B5" s="5">
        <f>COUNTA('02_Assetregister'!C2:C200)</f>
        <v>199</v>
      </c>
    </row>
    <row r="6" spans="1:8">
      <c r="A6" s="4" t="s">
        <v>10</v>
      </c>
      <c r="B6" s="5">
        <f>COUNTIF('06_Risicoregister'!$A$2:$A$200,"R*")</f>
        <v>12</v>
      </c>
    </row>
    <row r="7" spans="1:8">
      <c r="A7" s="4" t="s">
        <v>11</v>
      </c>
      <c r="B7" s="5">
        <f>COUNTIF('06_Risicoregister'!$L$2:$L$200,"Hoog")</f>
        <v>2</v>
      </c>
    </row>
    <row r="8" spans="1:8">
      <c r="A8" s="4" t="s">
        <v>12</v>
      </c>
      <c r="B8" s="5">
        <f>COUNTIF('08_Scenarioanalyse'!$B$2:$B$200,"R*")</f>
        <v>0</v>
      </c>
    </row>
    <row r="9" spans="1:8">
      <c r="A9" s="4" t="s">
        <v>13</v>
      </c>
      <c r="B9" s="5">
        <f>COUNTIF('09_Top5_Risicos'!$B$2:$B$6,"R*")</f>
        <v>5</v>
      </c>
    </row>
    <row r="10" spans="1:8">
      <c r="A10" s="4" t="s">
        <v>14</v>
      </c>
      <c r="B10" s="5">
        <f>COUNTIF('10_Maatregelenplan'!$C$2:$C$500,"&lt;&gt;")</f>
        <v>0</v>
      </c>
    </row>
  </sheetData>
  <mergeCells count="2">
    <mergeCell ref="A3:H3"/>
    <mergeCell ref="A1:H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1"/>
  <sheetViews>
    <sheetView showGridLines="0" workbookViewId="0">
      <selection activeCell="B5" sqref="B5"/>
    </sheetView>
  </sheetViews>
  <sheetFormatPr defaultRowHeight="14.45"/>
  <cols>
    <col min="1" max="1" width="28" customWidth="1"/>
    <col min="2" max="2" width="90" customWidth="1"/>
  </cols>
  <sheetData>
    <row r="1" spans="1:2">
      <c r="A1" s="3" t="s">
        <v>15</v>
      </c>
      <c r="B1" s="3" t="s">
        <v>16</v>
      </c>
    </row>
    <row r="2" spans="1:2">
      <c r="A2" s="6"/>
      <c r="B2" s="7"/>
    </row>
    <row r="3" spans="1:2">
      <c r="A3" s="6" t="s">
        <v>17</v>
      </c>
      <c r="B3" s="7" t="s">
        <v>18</v>
      </c>
    </row>
    <row r="4" spans="1:2" ht="60.75">
      <c r="A4" s="6" t="s">
        <v>19</v>
      </c>
      <c r="B4" s="7" t="s">
        <v>20</v>
      </c>
    </row>
    <row r="5" spans="1:2" ht="121.5">
      <c r="A5" s="6" t="s">
        <v>21</v>
      </c>
      <c r="B5" s="14" t="s">
        <v>22</v>
      </c>
    </row>
    <row r="6" spans="1:2" ht="106.5">
      <c r="A6" s="6" t="s">
        <v>23</v>
      </c>
      <c r="B6" s="7" t="s">
        <v>24</v>
      </c>
    </row>
    <row r="7" spans="1:2">
      <c r="A7" s="6" t="s">
        <v>25</v>
      </c>
      <c r="B7" s="7" t="s">
        <v>26</v>
      </c>
    </row>
    <row r="8" spans="1:2" ht="45.75">
      <c r="A8" s="6" t="s">
        <v>27</v>
      </c>
      <c r="B8" s="7" t="s">
        <v>28</v>
      </c>
    </row>
    <row r="9" spans="1:2" ht="76.5">
      <c r="A9" s="6" t="s">
        <v>29</v>
      </c>
      <c r="B9" s="7" t="s">
        <v>30</v>
      </c>
    </row>
    <row r="10" spans="1:2" ht="15">
      <c r="A10" s="6" t="s">
        <v>31</v>
      </c>
      <c r="B10" s="7" t="s">
        <v>32</v>
      </c>
    </row>
    <row r="11" spans="1:2">
      <c r="A11" t="s">
        <v>33</v>
      </c>
      <c r="B11" t="s">
        <v>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01"/>
  <sheetViews>
    <sheetView showGridLines="0" topLeftCell="A5" workbookViewId="0">
      <selection activeCell="C18" sqref="C18"/>
    </sheetView>
  </sheetViews>
  <sheetFormatPr defaultRowHeight="15"/>
  <cols>
    <col min="1" max="1" width="5" customWidth="1"/>
    <col min="2" max="2" width="26.42578125" customWidth="1"/>
    <col min="3" max="3" width="26" customWidth="1"/>
    <col min="4" max="4" width="45" customWidth="1"/>
    <col min="5" max="5" width="18" customWidth="1"/>
    <col min="6" max="8" width="4" customWidth="1"/>
    <col min="9" max="9" width="113.85546875" customWidth="1"/>
  </cols>
  <sheetData>
    <row r="1" spans="1:9" ht="14.45" customHeight="1">
      <c r="A1" s="29" t="s">
        <v>35</v>
      </c>
      <c r="B1" s="29" t="s">
        <v>36</v>
      </c>
      <c r="C1" s="29" t="s">
        <v>37</v>
      </c>
      <c r="D1" s="29" t="s">
        <v>38</v>
      </c>
      <c r="E1" s="29" t="s">
        <v>39</v>
      </c>
      <c r="F1" s="29" t="s">
        <v>40</v>
      </c>
      <c r="G1" s="29" t="s">
        <v>41</v>
      </c>
      <c r="H1" s="29" t="s">
        <v>42</v>
      </c>
      <c r="I1" s="29" t="s">
        <v>43</v>
      </c>
    </row>
    <row r="2" spans="1:9" ht="90" customHeight="1">
      <c r="A2" s="31">
        <v>1</v>
      </c>
      <c r="B2" s="30" t="s">
        <v>44</v>
      </c>
      <c r="C2" s="32" t="s">
        <v>45</v>
      </c>
      <c r="D2" s="32" t="s">
        <v>46</v>
      </c>
      <c r="E2" s="32" t="s">
        <v>47</v>
      </c>
      <c r="F2" s="30" t="s">
        <v>3</v>
      </c>
      <c r="G2" s="30" t="s">
        <v>3</v>
      </c>
      <c r="H2" s="30" t="s">
        <v>3</v>
      </c>
      <c r="I2" s="32" t="s">
        <v>48</v>
      </c>
    </row>
    <row r="3" spans="1:9" ht="84.75" customHeight="1">
      <c r="A3" s="31">
        <v>2</v>
      </c>
      <c r="B3" s="30" t="s">
        <v>44</v>
      </c>
      <c r="C3" s="32" t="s">
        <v>49</v>
      </c>
      <c r="D3" s="32" t="s">
        <v>50</v>
      </c>
      <c r="E3" s="32" t="s">
        <v>51</v>
      </c>
      <c r="F3" s="30" t="s">
        <v>52</v>
      </c>
      <c r="G3" s="30" t="s">
        <v>4</v>
      </c>
      <c r="H3" s="30" t="s">
        <v>4</v>
      </c>
      <c r="I3" s="32" t="s">
        <v>53</v>
      </c>
    </row>
    <row r="4" spans="1:9" ht="91.5" customHeight="1">
      <c r="A4" s="31">
        <v>3</v>
      </c>
      <c r="B4" s="30" t="s">
        <v>44</v>
      </c>
      <c r="C4" s="32" t="s">
        <v>54</v>
      </c>
      <c r="D4" s="32" t="s">
        <v>55</v>
      </c>
      <c r="E4" s="32" t="s">
        <v>51</v>
      </c>
      <c r="F4" s="30" t="s">
        <v>52</v>
      </c>
      <c r="G4" s="30" t="s">
        <v>4</v>
      </c>
      <c r="H4" s="30" t="s">
        <v>4</v>
      </c>
      <c r="I4" s="32" t="s">
        <v>56</v>
      </c>
    </row>
    <row r="5" spans="1:9" ht="81.75" customHeight="1">
      <c r="A5" s="31">
        <v>4</v>
      </c>
      <c r="B5" s="30" t="s">
        <v>44</v>
      </c>
      <c r="C5" s="32" t="s">
        <v>57</v>
      </c>
      <c r="D5" s="32" t="s">
        <v>58</v>
      </c>
      <c r="E5" s="32" t="s">
        <v>51</v>
      </c>
      <c r="F5" s="30" t="s">
        <v>3</v>
      </c>
      <c r="G5" s="30" t="s">
        <v>4</v>
      </c>
      <c r="H5" s="30" t="s">
        <v>4</v>
      </c>
      <c r="I5" s="32" t="s">
        <v>59</v>
      </c>
    </row>
    <row r="6" spans="1:9" ht="81.75" customHeight="1">
      <c r="A6" s="31">
        <v>5</v>
      </c>
      <c r="B6" s="30" t="s">
        <v>44</v>
      </c>
      <c r="C6" s="32" t="s">
        <v>60</v>
      </c>
      <c r="D6" s="32" t="s">
        <v>61</v>
      </c>
      <c r="E6" s="32" t="s">
        <v>51</v>
      </c>
      <c r="F6" s="30" t="s">
        <v>3</v>
      </c>
      <c r="G6" s="30" t="s">
        <v>4</v>
      </c>
      <c r="H6" s="30" t="s">
        <v>4</v>
      </c>
      <c r="I6" s="32" t="s">
        <v>62</v>
      </c>
    </row>
    <row r="7" spans="1:9" ht="124.5" customHeight="1">
      <c r="A7" s="31">
        <v>6</v>
      </c>
      <c r="B7" s="30" t="s">
        <v>44</v>
      </c>
      <c r="C7" s="32" t="s">
        <v>63</v>
      </c>
      <c r="D7" s="32" t="s">
        <v>64</v>
      </c>
      <c r="E7" s="32" t="s">
        <v>65</v>
      </c>
      <c r="F7" s="30" t="s">
        <v>3</v>
      </c>
      <c r="G7" s="30" t="s">
        <v>4</v>
      </c>
      <c r="H7" s="30" t="s">
        <v>4</v>
      </c>
      <c r="I7" s="32" t="s">
        <v>66</v>
      </c>
    </row>
    <row r="8" spans="1:9" ht="14.45" customHeight="1">
      <c r="A8" s="31">
        <v>7</v>
      </c>
      <c r="B8" s="30" t="s">
        <v>67</v>
      </c>
      <c r="C8" s="32" t="s">
        <v>67</v>
      </c>
      <c r="D8" s="32" t="s">
        <v>67</v>
      </c>
      <c r="E8" s="32" t="s">
        <v>67</v>
      </c>
      <c r="F8" s="30"/>
      <c r="G8" s="30"/>
      <c r="H8" s="30"/>
      <c r="I8" s="32"/>
    </row>
    <row r="9" spans="1:9" ht="105" customHeight="1">
      <c r="A9" s="31">
        <v>8</v>
      </c>
      <c r="B9" s="30" t="s">
        <v>68</v>
      </c>
      <c r="C9" s="32" t="s">
        <v>69</v>
      </c>
      <c r="D9" s="32" t="s">
        <v>70</v>
      </c>
      <c r="E9" s="32" t="s">
        <v>51</v>
      </c>
      <c r="F9" s="30" t="s">
        <v>52</v>
      </c>
      <c r="G9" s="30" t="s">
        <v>4</v>
      </c>
      <c r="H9" s="30" t="s">
        <v>4</v>
      </c>
      <c r="I9" s="33" t="s">
        <v>71</v>
      </c>
    </row>
    <row r="10" spans="1:9" ht="117" customHeight="1">
      <c r="A10" s="31">
        <v>9</v>
      </c>
      <c r="B10" s="30" t="s">
        <v>68</v>
      </c>
      <c r="C10" s="32" t="s">
        <v>72</v>
      </c>
      <c r="D10" s="32" t="s">
        <v>73</v>
      </c>
      <c r="E10" s="32" t="s">
        <v>51</v>
      </c>
      <c r="F10" s="30" t="s">
        <v>3</v>
      </c>
      <c r="G10" s="30" t="s">
        <v>4</v>
      </c>
      <c r="H10" s="30" t="s">
        <v>3</v>
      </c>
      <c r="I10" s="33" t="s">
        <v>74</v>
      </c>
    </row>
    <row r="11" spans="1:9" ht="97.5" customHeight="1">
      <c r="A11" s="31">
        <v>10</v>
      </c>
      <c r="B11" s="30" t="s">
        <v>68</v>
      </c>
      <c r="C11" s="32" t="s">
        <v>75</v>
      </c>
      <c r="D11" s="32" t="s">
        <v>76</v>
      </c>
      <c r="E11" s="32" t="s">
        <v>65</v>
      </c>
      <c r="F11" s="30" t="s">
        <v>3</v>
      </c>
      <c r="G11" s="30" t="s">
        <v>4</v>
      </c>
      <c r="H11" s="30" t="s">
        <v>4</v>
      </c>
      <c r="I11" s="33" t="s">
        <v>77</v>
      </c>
    </row>
    <row r="12" spans="1:9" ht="99" customHeight="1">
      <c r="A12" s="31">
        <v>11</v>
      </c>
      <c r="B12" s="30" t="s">
        <v>68</v>
      </c>
      <c r="C12" s="32" t="s">
        <v>78</v>
      </c>
      <c r="D12" s="32" t="s">
        <v>79</v>
      </c>
      <c r="E12" s="32" t="s">
        <v>80</v>
      </c>
      <c r="F12" s="30" t="s">
        <v>3</v>
      </c>
      <c r="G12" s="30" t="s">
        <v>4</v>
      </c>
      <c r="H12" s="30" t="s">
        <v>4</v>
      </c>
      <c r="I12" s="33" t="s">
        <v>81</v>
      </c>
    </row>
    <row r="13" spans="1:9" ht="105" customHeight="1">
      <c r="A13" s="31">
        <v>12</v>
      </c>
      <c r="B13" s="30" t="s">
        <v>68</v>
      </c>
      <c r="C13" s="32" t="s">
        <v>82</v>
      </c>
      <c r="D13" s="32" t="s">
        <v>83</v>
      </c>
      <c r="E13" s="32" t="s">
        <v>84</v>
      </c>
      <c r="F13" s="30" t="s">
        <v>3</v>
      </c>
      <c r="G13" s="30" t="s">
        <v>4</v>
      </c>
      <c r="H13" s="30" t="s">
        <v>4</v>
      </c>
      <c r="I13" s="33" t="s">
        <v>85</v>
      </c>
    </row>
    <row r="14" spans="1:9" ht="102" customHeight="1">
      <c r="A14" s="31">
        <v>13</v>
      </c>
      <c r="B14" s="30" t="s">
        <v>68</v>
      </c>
      <c r="C14" s="32" t="s">
        <v>86</v>
      </c>
      <c r="D14" s="32" t="s">
        <v>87</v>
      </c>
      <c r="E14" s="32" t="s">
        <v>51</v>
      </c>
      <c r="F14" s="30" t="s">
        <v>3</v>
      </c>
      <c r="G14" s="30" t="s">
        <v>4</v>
      </c>
      <c r="H14" s="30" t="s">
        <v>4</v>
      </c>
      <c r="I14" s="33" t="s">
        <v>88</v>
      </c>
    </row>
    <row r="15" spans="1:9" ht="14.45" customHeight="1">
      <c r="A15" s="31">
        <v>14</v>
      </c>
      <c r="B15" s="30" t="s">
        <v>67</v>
      </c>
      <c r="C15" s="32" t="s">
        <v>67</v>
      </c>
      <c r="D15" s="32" t="s">
        <v>67</v>
      </c>
      <c r="E15" s="32" t="s">
        <v>67</v>
      </c>
      <c r="F15" s="30"/>
      <c r="G15" s="30"/>
      <c r="H15" s="30"/>
      <c r="I15" s="32"/>
    </row>
    <row r="16" spans="1:9" ht="80.25" customHeight="1">
      <c r="A16" s="31">
        <v>15</v>
      </c>
      <c r="B16" s="30" t="s">
        <v>89</v>
      </c>
      <c r="C16" s="32" t="s">
        <v>90</v>
      </c>
      <c r="D16" s="32" t="s">
        <v>91</v>
      </c>
      <c r="E16" s="32" t="s">
        <v>65</v>
      </c>
      <c r="F16" s="30" t="s">
        <v>52</v>
      </c>
      <c r="G16" s="30" t="s">
        <v>4</v>
      </c>
      <c r="H16" s="30" t="s">
        <v>4</v>
      </c>
      <c r="I16" s="32" t="s">
        <v>92</v>
      </c>
    </row>
    <row r="17" spans="1:9" ht="66" customHeight="1">
      <c r="A17" s="31">
        <v>16</v>
      </c>
      <c r="B17" s="30" t="s">
        <v>89</v>
      </c>
      <c r="C17" s="32" t="s">
        <v>93</v>
      </c>
      <c r="D17" s="32" t="s">
        <v>94</v>
      </c>
      <c r="E17" s="32" t="s">
        <v>65</v>
      </c>
      <c r="F17" s="30" t="s">
        <v>52</v>
      </c>
      <c r="G17" s="30" t="s">
        <v>4</v>
      </c>
      <c r="H17" s="30" t="s">
        <v>4</v>
      </c>
      <c r="I17" s="33" t="s">
        <v>95</v>
      </c>
    </row>
    <row r="18" spans="1:9" ht="73.5" customHeight="1">
      <c r="A18" s="31">
        <v>17</v>
      </c>
      <c r="B18" s="30" t="s">
        <v>89</v>
      </c>
      <c r="C18" s="32" t="s">
        <v>96</v>
      </c>
      <c r="D18" s="32" t="s">
        <v>97</v>
      </c>
      <c r="E18" s="32" t="s">
        <v>65</v>
      </c>
      <c r="F18" s="30" t="s">
        <v>52</v>
      </c>
      <c r="G18" s="30" t="s">
        <v>4</v>
      </c>
      <c r="H18" s="30" t="s">
        <v>4</v>
      </c>
      <c r="I18" s="33" t="s">
        <v>98</v>
      </c>
    </row>
    <row r="19" spans="1:9" ht="70.5" customHeight="1">
      <c r="A19" s="31">
        <v>18</v>
      </c>
      <c r="B19" s="30" t="s">
        <v>89</v>
      </c>
      <c r="C19" s="32" t="s">
        <v>99</v>
      </c>
      <c r="D19" s="32" t="s">
        <v>100</v>
      </c>
      <c r="E19" s="32" t="s">
        <v>101</v>
      </c>
      <c r="F19" s="30" t="s">
        <v>3</v>
      </c>
      <c r="G19" s="30" t="s">
        <v>4</v>
      </c>
      <c r="H19" s="30" t="s">
        <v>4</v>
      </c>
      <c r="I19" s="33" t="s">
        <v>102</v>
      </c>
    </row>
    <row r="20" spans="1:9" ht="73.5" customHeight="1">
      <c r="A20" s="31">
        <v>19</v>
      </c>
      <c r="B20" s="30" t="s">
        <v>89</v>
      </c>
      <c r="C20" s="32" t="s">
        <v>103</v>
      </c>
      <c r="D20" s="32" t="s">
        <v>104</v>
      </c>
      <c r="E20" s="32" t="s">
        <v>84</v>
      </c>
      <c r="F20" s="30" t="s">
        <v>3</v>
      </c>
      <c r="G20" s="30" t="s">
        <v>4</v>
      </c>
      <c r="H20" s="30" t="s">
        <v>4</v>
      </c>
      <c r="I20" s="33" t="s">
        <v>105</v>
      </c>
    </row>
    <row r="21" spans="1:9" ht="59.25" customHeight="1">
      <c r="A21" s="31">
        <v>20</v>
      </c>
      <c r="B21" s="30" t="s">
        <v>89</v>
      </c>
      <c r="C21" s="32" t="s">
        <v>106</v>
      </c>
      <c r="D21" s="32" t="s">
        <v>107</v>
      </c>
      <c r="E21" s="32" t="s">
        <v>108</v>
      </c>
      <c r="F21" s="30" t="s">
        <v>52</v>
      </c>
      <c r="G21" s="30" t="s">
        <v>4</v>
      </c>
      <c r="H21" s="30" t="s">
        <v>4</v>
      </c>
      <c r="I21" s="33" t="s">
        <v>109</v>
      </c>
    </row>
    <row r="22" spans="1:9" ht="14.45" customHeight="1">
      <c r="A22" s="31">
        <v>21</v>
      </c>
      <c r="B22" s="30" t="s">
        <v>67</v>
      </c>
      <c r="C22" s="32" t="s">
        <v>67</v>
      </c>
      <c r="D22" s="32" t="s">
        <v>67</v>
      </c>
      <c r="E22" s="32" t="s">
        <v>67</v>
      </c>
      <c r="F22" s="30"/>
      <c r="G22" s="30"/>
      <c r="H22" s="30"/>
      <c r="I22" s="32"/>
    </row>
    <row r="23" spans="1:9" ht="78.75" customHeight="1">
      <c r="A23" s="31">
        <v>22</v>
      </c>
      <c r="B23" s="30" t="s">
        <v>110</v>
      </c>
      <c r="C23" s="32" t="s">
        <v>111</v>
      </c>
      <c r="D23" s="32" t="s">
        <v>112</v>
      </c>
      <c r="E23" s="32" t="s">
        <v>65</v>
      </c>
      <c r="F23" s="30" t="s">
        <v>52</v>
      </c>
      <c r="G23" s="30" t="s">
        <v>4</v>
      </c>
      <c r="H23" s="30" t="s">
        <v>3</v>
      </c>
      <c r="I23" s="33" t="s">
        <v>113</v>
      </c>
    </row>
    <row r="24" spans="1:9" ht="59.25" customHeight="1">
      <c r="A24" s="31">
        <v>23</v>
      </c>
      <c r="B24" s="30" t="s">
        <v>110</v>
      </c>
      <c r="C24" s="32" t="s">
        <v>114</v>
      </c>
      <c r="D24" s="32" t="s">
        <v>61</v>
      </c>
      <c r="E24" s="32" t="s">
        <v>65</v>
      </c>
      <c r="F24" s="30" t="s">
        <v>52</v>
      </c>
      <c r="G24" s="30" t="s">
        <v>4</v>
      </c>
      <c r="H24" s="30" t="s">
        <v>4</v>
      </c>
      <c r="I24" s="33" t="s">
        <v>115</v>
      </c>
    </row>
    <row r="25" spans="1:9" ht="60.75" customHeight="1">
      <c r="A25" s="31">
        <v>24</v>
      </c>
      <c r="B25" s="30" t="s">
        <v>110</v>
      </c>
      <c r="C25" s="32" t="s">
        <v>116</v>
      </c>
      <c r="D25" s="32" t="s">
        <v>117</v>
      </c>
      <c r="E25" s="32" t="s">
        <v>65</v>
      </c>
      <c r="F25" s="30" t="s">
        <v>52</v>
      </c>
      <c r="G25" s="30" t="s">
        <v>4</v>
      </c>
      <c r="H25" s="30" t="s">
        <v>4</v>
      </c>
      <c r="I25" s="33" t="s">
        <v>118</v>
      </c>
    </row>
    <row r="26" spans="1:9" ht="102.75" customHeight="1">
      <c r="A26" s="31">
        <v>25</v>
      </c>
      <c r="B26" s="30" t="s">
        <v>110</v>
      </c>
      <c r="C26" s="32" t="s">
        <v>119</v>
      </c>
      <c r="D26" s="32" t="s">
        <v>120</v>
      </c>
      <c r="E26" s="32" t="s">
        <v>65</v>
      </c>
      <c r="F26" s="30" t="s">
        <v>52</v>
      </c>
      <c r="G26" s="30" t="s">
        <v>4</v>
      </c>
      <c r="H26" s="30" t="s">
        <v>3</v>
      </c>
      <c r="I26" s="33" t="s">
        <v>121</v>
      </c>
    </row>
    <row r="27" spans="1:9" ht="110.25" customHeight="1">
      <c r="A27" s="31">
        <v>26</v>
      </c>
      <c r="B27" s="30" t="s">
        <v>110</v>
      </c>
      <c r="C27" s="32" t="s">
        <v>122</v>
      </c>
      <c r="D27" s="32" t="s">
        <v>123</v>
      </c>
      <c r="E27" s="32" t="s">
        <v>65</v>
      </c>
      <c r="F27" s="30" t="s">
        <v>52</v>
      </c>
      <c r="G27" s="30" t="s">
        <v>4</v>
      </c>
      <c r="H27" s="30" t="s">
        <v>3</v>
      </c>
      <c r="I27" s="33" t="s">
        <v>124</v>
      </c>
    </row>
    <row r="28" spans="1:9" ht="64.5" customHeight="1">
      <c r="A28" s="31">
        <v>27</v>
      </c>
      <c r="B28" s="30" t="s">
        <v>110</v>
      </c>
      <c r="C28" s="32" t="s">
        <v>125</v>
      </c>
      <c r="D28" s="32" t="s">
        <v>126</v>
      </c>
      <c r="E28" s="32" t="s">
        <v>65</v>
      </c>
      <c r="F28" s="30" t="s">
        <v>52</v>
      </c>
      <c r="G28" s="30" t="s">
        <v>4</v>
      </c>
      <c r="H28" s="30" t="s">
        <v>4</v>
      </c>
      <c r="I28" s="33" t="s">
        <v>127</v>
      </c>
    </row>
    <row r="29" spans="1:9" ht="14.45" customHeight="1">
      <c r="A29" s="31">
        <v>28</v>
      </c>
      <c r="B29" s="30" t="s">
        <v>67</v>
      </c>
      <c r="C29" s="32" t="s">
        <v>67</v>
      </c>
      <c r="D29" s="32" t="s">
        <v>67</v>
      </c>
      <c r="E29" s="32" t="s">
        <v>67</v>
      </c>
      <c r="F29" s="30"/>
      <c r="G29" s="30"/>
      <c r="H29" s="30"/>
      <c r="I29" s="32"/>
    </row>
    <row r="30" spans="1:9" s="24" customFormat="1" ht="108.75" customHeight="1">
      <c r="A30" s="31">
        <v>29</v>
      </c>
      <c r="B30" s="30" t="s">
        <v>68</v>
      </c>
      <c r="C30" s="32" t="s">
        <v>128</v>
      </c>
      <c r="D30" s="34" t="s">
        <v>129</v>
      </c>
      <c r="E30" s="32" t="s">
        <v>51</v>
      </c>
      <c r="F30" s="30" t="s">
        <v>2</v>
      </c>
      <c r="G30" s="30" t="s">
        <v>4</v>
      </c>
      <c r="H30" s="30" t="s">
        <v>4</v>
      </c>
      <c r="I30" s="32" t="s">
        <v>130</v>
      </c>
    </row>
    <row r="31" spans="1:9" ht="14.45" customHeight="1">
      <c r="A31" s="31">
        <v>30</v>
      </c>
      <c r="B31" s="30" t="s">
        <v>67</v>
      </c>
      <c r="C31" s="32" t="s">
        <v>67</v>
      </c>
      <c r="D31" s="32" t="s">
        <v>67</v>
      </c>
      <c r="E31" s="32" t="s">
        <v>67</v>
      </c>
      <c r="F31" s="30"/>
      <c r="G31" s="30"/>
      <c r="H31" s="30"/>
      <c r="I31" s="32"/>
    </row>
    <row r="32" spans="1:9" ht="14.45" customHeight="1">
      <c r="A32" s="31">
        <v>31</v>
      </c>
      <c r="B32" s="30" t="s">
        <v>67</v>
      </c>
      <c r="C32" s="32" t="s">
        <v>67</v>
      </c>
      <c r="D32" s="32" t="s">
        <v>67</v>
      </c>
      <c r="E32" s="32" t="s">
        <v>67</v>
      </c>
      <c r="F32" s="30"/>
      <c r="G32" s="30"/>
      <c r="H32" s="30"/>
      <c r="I32" s="32"/>
    </row>
    <row r="33" spans="1:9" ht="14.45" customHeight="1">
      <c r="A33" s="31">
        <v>32</v>
      </c>
      <c r="B33" s="30" t="s">
        <v>67</v>
      </c>
      <c r="C33" s="32" t="s">
        <v>67</v>
      </c>
      <c r="D33" s="32" t="s">
        <v>67</v>
      </c>
      <c r="E33" s="32" t="s">
        <v>67</v>
      </c>
      <c r="F33" s="30"/>
      <c r="G33" s="30"/>
      <c r="H33" s="30"/>
      <c r="I33" s="32"/>
    </row>
    <row r="34" spans="1:9" ht="14.45" customHeight="1">
      <c r="A34" s="31">
        <v>33</v>
      </c>
      <c r="B34" s="30" t="s">
        <v>67</v>
      </c>
      <c r="C34" s="32" t="s">
        <v>67</v>
      </c>
      <c r="D34" s="32" t="s">
        <v>67</v>
      </c>
      <c r="E34" s="32" t="s">
        <v>67</v>
      </c>
      <c r="F34" s="30"/>
      <c r="G34" s="30"/>
      <c r="H34" s="30"/>
      <c r="I34" s="32"/>
    </row>
    <row r="35" spans="1:9" ht="14.45" customHeight="1">
      <c r="A35" s="31">
        <v>34</v>
      </c>
      <c r="B35" s="30" t="s">
        <v>67</v>
      </c>
      <c r="C35" s="32" t="s">
        <v>67</v>
      </c>
      <c r="D35" s="32" t="s">
        <v>67</v>
      </c>
      <c r="E35" s="32" t="s">
        <v>67</v>
      </c>
      <c r="F35" s="30"/>
      <c r="G35" s="30"/>
      <c r="H35" s="30"/>
      <c r="I35" s="32"/>
    </row>
    <row r="36" spans="1:9" ht="14.45" customHeight="1">
      <c r="A36" s="31">
        <v>35</v>
      </c>
      <c r="B36" s="30" t="s">
        <v>67</v>
      </c>
      <c r="C36" s="32" t="s">
        <v>67</v>
      </c>
      <c r="D36" s="32" t="s">
        <v>67</v>
      </c>
      <c r="E36" s="32" t="s">
        <v>67</v>
      </c>
      <c r="F36" s="30"/>
      <c r="G36" s="30"/>
      <c r="H36" s="30"/>
      <c r="I36" s="32"/>
    </row>
    <row r="37" spans="1:9" ht="14.45" customHeight="1">
      <c r="A37" s="31">
        <v>36</v>
      </c>
      <c r="B37" s="30" t="s">
        <v>67</v>
      </c>
      <c r="C37" s="32" t="s">
        <v>67</v>
      </c>
      <c r="D37" s="32" t="s">
        <v>67</v>
      </c>
      <c r="E37" s="32" t="s">
        <v>67</v>
      </c>
      <c r="F37" s="30"/>
      <c r="G37" s="30"/>
      <c r="H37" s="30"/>
      <c r="I37" s="32"/>
    </row>
    <row r="38" spans="1:9" ht="14.45" customHeight="1">
      <c r="A38" s="31">
        <v>37</v>
      </c>
      <c r="B38" s="30" t="s">
        <v>67</v>
      </c>
      <c r="C38" s="32" t="s">
        <v>67</v>
      </c>
      <c r="D38" s="32" t="s">
        <v>67</v>
      </c>
      <c r="E38" s="32" t="s">
        <v>67</v>
      </c>
      <c r="F38" s="30"/>
      <c r="G38" s="30"/>
      <c r="H38" s="30"/>
      <c r="I38" s="32"/>
    </row>
    <row r="39" spans="1:9" ht="14.45" customHeight="1">
      <c r="A39" s="31">
        <v>38</v>
      </c>
      <c r="B39" s="30" t="s">
        <v>67</v>
      </c>
      <c r="C39" s="32" t="s">
        <v>67</v>
      </c>
      <c r="D39" s="32" t="s">
        <v>67</v>
      </c>
      <c r="E39" s="32" t="s">
        <v>67</v>
      </c>
      <c r="F39" s="30"/>
      <c r="G39" s="30"/>
      <c r="H39" s="30"/>
      <c r="I39" s="32"/>
    </row>
    <row r="40" spans="1:9" ht="14.45" customHeight="1">
      <c r="A40" s="31">
        <v>39</v>
      </c>
      <c r="B40" s="30" t="s">
        <v>67</v>
      </c>
      <c r="C40" s="32" t="s">
        <v>67</v>
      </c>
      <c r="D40" s="32" t="s">
        <v>67</v>
      </c>
      <c r="E40" s="32" t="s">
        <v>67</v>
      </c>
      <c r="F40" s="30"/>
      <c r="G40" s="30"/>
      <c r="H40" s="30"/>
      <c r="I40" s="32"/>
    </row>
    <row r="41" spans="1:9" ht="14.45" customHeight="1">
      <c r="A41" s="31">
        <v>40</v>
      </c>
      <c r="B41" s="30" t="s">
        <v>67</v>
      </c>
      <c r="C41" s="32" t="s">
        <v>67</v>
      </c>
      <c r="D41" s="32" t="s">
        <v>67</v>
      </c>
      <c r="E41" s="32" t="s">
        <v>67</v>
      </c>
      <c r="F41" s="30"/>
      <c r="G41" s="30"/>
      <c r="H41" s="30"/>
      <c r="I41" s="32"/>
    </row>
    <row r="42" spans="1:9" ht="14.45" customHeight="1">
      <c r="A42" s="31">
        <v>41</v>
      </c>
      <c r="B42" s="30" t="s">
        <v>67</v>
      </c>
      <c r="C42" s="32" t="s">
        <v>67</v>
      </c>
      <c r="D42" s="32" t="s">
        <v>67</v>
      </c>
      <c r="E42" s="32" t="s">
        <v>67</v>
      </c>
      <c r="F42" s="30"/>
      <c r="G42" s="30"/>
      <c r="H42" s="30"/>
      <c r="I42" s="32"/>
    </row>
    <row r="43" spans="1:9" ht="14.45" customHeight="1">
      <c r="A43" s="31">
        <v>42</v>
      </c>
      <c r="B43" s="30" t="s">
        <v>67</v>
      </c>
      <c r="C43" s="32" t="s">
        <v>67</v>
      </c>
      <c r="D43" s="32" t="s">
        <v>67</v>
      </c>
      <c r="E43" s="32" t="s">
        <v>67</v>
      </c>
      <c r="F43" s="30"/>
      <c r="G43" s="30"/>
      <c r="H43" s="30"/>
      <c r="I43" s="32"/>
    </row>
    <row r="44" spans="1:9" ht="14.45" customHeight="1">
      <c r="A44" s="31">
        <v>43</v>
      </c>
      <c r="B44" s="30" t="s">
        <v>67</v>
      </c>
      <c r="C44" s="32" t="s">
        <v>67</v>
      </c>
      <c r="D44" s="32" t="s">
        <v>67</v>
      </c>
      <c r="E44" s="32" t="s">
        <v>67</v>
      </c>
      <c r="F44" s="30"/>
      <c r="G44" s="30"/>
      <c r="H44" s="30"/>
      <c r="I44" s="32"/>
    </row>
    <row r="45" spans="1:9" ht="14.45" customHeight="1">
      <c r="A45" s="31">
        <v>44</v>
      </c>
      <c r="B45" s="30" t="s">
        <v>67</v>
      </c>
      <c r="C45" s="32" t="s">
        <v>67</v>
      </c>
      <c r="D45" s="32" t="s">
        <v>67</v>
      </c>
      <c r="E45" s="32" t="s">
        <v>67</v>
      </c>
      <c r="F45" s="30"/>
      <c r="G45" s="30"/>
      <c r="H45" s="30"/>
      <c r="I45" s="32"/>
    </row>
    <row r="46" spans="1:9" ht="14.45" customHeight="1">
      <c r="A46" s="31">
        <v>45</v>
      </c>
      <c r="B46" s="30" t="s">
        <v>67</v>
      </c>
      <c r="C46" s="32" t="s">
        <v>67</v>
      </c>
      <c r="D46" s="32" t="s">
        <v>67</v>
      </c>
      <c r="E46" s="32" t="s">
        <v>67</v>
      </c>
      <c r="F46" s="30"/>
      <c r="G46" s="30"/>
      <c r="H46" s="30"/>
      <c r="I46" s="32"/>
    </row>
    <row r="47" spans="1:9" ht="14.45" customHeight="1">
      <c r="A47" s="31">
        <v>46</v>
      </c>
      <c r="B47" s="30" t="s">
        <v>67</v>
      </c>
      <c r="C47" s="32" t="s">
        <v>67</v>
      </c>
      <c r="D47" s="32" t="s">
        <v>67</v>
      </c>
      <c r="E47" s="32" t="s">
        <v>67</v>
      </c>
      <c r="F47" s="30"/>
      <c r="G47" s="30"/>
      <c r="H47" s="30"/>
      <c r="I47" s="32"/>
    </row>
    <row r="48" spans="1:9" ht="14.45" customHeight="1">
      <c r="A48" s="31">
        <v>47</v>
      </c>
      <c r="B48" s="30" t="s">
        <v>67</v>
      </c>
      <c r="C48" s="32" t="s">
        <v>67</v>
      </c>
      <c r="D48" s="32" t="s">
        <v>67</v>
      </c>
      <c r="E48" s="32" t="s">
        <v>67</v>
      </c>
      <c r="F48" s="30"/>
      <c r="G48" s="30"/>
      <c r="H48" s="30"/>
      <c r="I48" s="32"/>
    </row>
    <row r="49" spans="1:9" ht="14.45" customHeight="1">
      <c r="A49" s="31">
        <v>48</v>
      </c>
      <c r="B49" s="30" t="s">
        <v>67</v>
      </c>
      <c r="C49" s="32" t="s">
        <v>67</v>
      </c>
      <c r="D49" s="32" t="s">
        <v>67</v>
      </c>
      <c r="E49" s="32" t="s">
        <v>67</v>
      </c>
      <c r="F49" s="30"/>
      <c r="G49" s="30"/>
      <c r="H49" s="30"/>
      <c r="I49" s="32"/>
    </row>
    <row r="50" spans="1:9" ht="14.45" customHeight="1">
      <c r="A50" s="31">
        <v>49</v>
      </c>
      <c r="B50" s="30" t="s">
        <v>67</v>
      </c>
      <c r="C50" s="32" t="s">
        <v>67</v>
      </c>
      <c r="D50" s="32" t="s">
        <v>67</v>
      </c>
      <c r="E50" s="32" t="s">
        <v>67</v>
      </c>
      <c r="F50" s="30"/>
      <c r="G50" s="30"/>
      <c r="H50" s="30"/>
      <c r="I50" s="32"/>
    </row>
    <row r="51" spans="1:9" ht="14.45" customHeight="1">
      <c r="A51" s="31">
        <v>50</v>
      </c>
      <c r="B51" s="30" t="s">
        <v>67</v>
      </c>
      <c r="C51" s="32" t="s">
        <v>67</v>
      </c>
      <c r="D51" s="32" t="s">
        <v>67</v>
      </c>
      <c r="E51" s="32" t="s">
        <v>67</v>
      </c>
      <c r="F51" s="30"/>
      <c r="G51" s="30"/>
      <c r="H51" s="30"/>
      <c r="I51" s="32"/>
    </row>
    <row r="52" spans="1:9" ht="14.45" customHeight="1">
      <c r="A52" s="31">
        <v>51</v>
      </c>
      <c r="B52" s="30" t="s">
        <v>67</v>
      </c>
      <c r="C52" s="32" t="s">
        <v>67</v>
      </c>
      <c r="D52" s="32" t="s">
        <v>67</v>
      </c>
      <c r="E52" s="32" t="s">
        <v>67</v>
      </c>
      <c r="F52" s="30"/>
      <c r="G52" s="30"/>
      <c r="H52" s="30"/>
      <c r="I52" s="32"/>
    </row>
    <row r="53" spans="1:9" ht="14.45" customHeight="1">
      <c r="A53" s="31">
        <v>52</v>
      </c>
      <c r="B53" s="30" t="s">
        <v>67</v>
      </c>
      <c r="C53" s="32" t="s">
        <v>67</v>
      </c>
      <c r="D53" s="32" t="s">
        <v>67</v>
      </c>
      <c r="E53" s="32" t="s">
        <v>67</v>
      </c>
      <c r="F53" s="30"/>
      <c r="G53" s="30"/>
      <c r="H53" s="30"/>
      <c r="I53" s="32"/>
    </row>
    <row r="54" spans="1:9" ht="14.45" customHeight="1">
      <c r="A54" s="31">
        <v>53</v>
      </c>
      <c r="B54" s="30" t="s">
        <v>67</v>
      </c>
      <c r="C54" s="32" t="s">
        <v>67</v>
      </c>
      <c r="D54" s="32" t="s">
        <v>67</v>
      </c>
      <c r="E54" s="32" t="s">
        <v>67</v>
      </c>
      <c r="F54" s="30"/>
      <c r="G54" s="30"/>
      <c r="H54" s="30"/>
      <c r="I54" s="32"/>
    </row>
    <row r="55" spans="1:9" ht="14.45" customHeight="1">
      <c r="A55" s="31">
        <v>54</v>
      </c>
      <c r="B55" s="30" t="s">
        <v>67</v>
      </c>
      <c r="C55" s="32" t="s">
        <v>67</v>
      </c>
      <c r="D55" s="32" t="s">
        <v>67</v>
      </c>
      <c r="E55" s="32" t="s">
        <v>67</v>
      </c>
      <c r="F55" s="30"/>
      <c r="G55" s="30"/>
      <c r="H55" s="30"/>
      <c r="I55" s="32"/>
    </row>
    <row r="56" spans="1:9" ht="14.45" customHeight="1">
      <c r="A56" s="31">
        <v>55</v>
      </c>
      <c r="B56" s="30" t="s">
        <v>67</v>
      </c>
      <c r="C56" s="32" t="s">
        <v>67</v>
      </c>
      <c r="D56" s="32" t="s">
        <v>67</v>
      </c>
      <c r="E56" s="32" t="s">
        <v>67</v>
      </c>
      <c r="F56" s="30"/>
      <c r="G56" s="30"/>
      <c r="H56" s="30"/>
      <c r="I56" s="32"/>
    </row>
    <row r="57" spans="1:9" ht="14.45" customHeight="1">
      <c r="A57" s="31">
        <v>56</v>
      </c>
      <c r="B57" s="30" t="s">
        <v>67</v>
      </c>
      <c r="C57" s="32" t="s">
        <v>67</v>
      </c>
      <c r="D57" s="32" t="s">
        <v>67</v>
      </c>
      <c r="E57" s="32" t="s">
        <v>67</v>
      </c>
      <c r="F57" s="30"/>
      <c r="G57" s="30"/>
      <c r="H57" s="30"/>
      <c r="I57" s="32"/>
    </row>
    <row r="58" spans="1:9" ht="14.45" customHeight="1">
      <c r="A58" s="31">
        <v>57</v>
      </c>
      <c r="B58" s="30" t="s">
        <v>67</v>
      </c>
      <c r="C58" s="32" t="s">
        <v>67</v>
      </c>
      <c r="D58" s="32" t="s">
        <v>67</v>
      </c>
      <c r="E58" s="32" t="s">
        <v>67</v>
      </c>
      <c r="F58" s="30"/>
      <c r="G58" s="30"/>
      <c r="H58" s="30"/>
      <c r="I58" s="32"/>
    </row>
    <row r="59" spans="1:9" ht="14.45" customHeight="1">
      <c r="A59" s="31">
        <v>58</v>
      </c>
      <c r="B59" s="30" t="s">
        <v>67</v>
      </c>
      <c r="C59" s="32" t="s">
        <v>67</v>
      </c>
      <c r="D59" s="32" t="s">
        <v>67</v>
      </c>
      <c r="E59" s="32" t="s">
        <v>67</v>
      </c>
      <c r="F59" s="30"/>
      <c r="G59" s="30"/>
      <c r="H59" s="30"/>
      <c r="I59" s="32"/>
    </row>
    <row r="60" spans="1:9" ht="14.45" customHeight="1">
      <c r="A60" s="31">
        <v>59</v>
      </c>
      <c r="B60" s="30" t="s">
        <v>67</v>
      </c>
      <c r="C60" s="32" t="s">
        <v>67</v>
      </c>
      <c r="D60" s="32" t="s">
        <v>67</v>
      </c>
      <c r="E60" s="32" t="s">
        <v>67</v>
      </c>
      <c r="F60" s="30"/>
      <c r="G60" s="30"/>
      <c r="H60" s="30"/>
      <c r="I60" s="32"/>
    </row>
    <row r="61" spans="1:9" ht="14.45" customHeight="1">
      <c r="A61" s="31">
        <v>60</v>
      </c>
      <c r="B61" s="30" t="s">
        <v>67</v>
      </c>
      <c r="C61" s="32" t="s">
        <v>67</v>
      </c>
      <c r="D61" s="32" t="s">
        <v>67</v>
      </c>
      <c r="E61" s="32" t="s">
        <v>67</v>
      </c>
      <c r="F61" s="30"/>
      <c r="G61" s="30"/>
      <c r="H61" s="30"/>
      <c r="I61" s="32"/>
    </row>
    <row r="62" spans="1:9" ht="14.45" customHeight="1">
      <c r="A62" s="31">
        <v>61</v>
      </c>
      <c r="B62" s="30" t="s">
        <v>67</v>
      </c>
      <c r="C62" s="32" t="s">
        <v>67</v>
      </c>
      <c r="D62" s="32" t="s">
        <v>67</v>
      </c>
      <c r="E62" s="32" t="s">
        <v>67</v>
      </c>
      <c r="F62" s="30"/>
      <c r="G62" s="30"/>
      <c r="H62" s="30"/>
      <c r="I62" s="32"/>
    </row>
    <row r="63" spans="1:9" ht="14.45" customHeight="1">
      <c r="A63" s="31">
        <v>62</v>
      </c>
      <c r="B63" s="30" t="s">
        <v>67</v>
      </c>
      <c r="C63" s="32" t="s">
        <v>67</v>
      </c>
      <c r="D63" s="32" t="s">
        <v>67</v>
      </c>
      <c r="E63" s="32" t="s">
        <v>67</v>
      </c>
      <c r="F63" s="30"/>
      <c r="G63" s="30"/>
      <c r="H63" s="30"/>
      <c r="I63" s="32"/>
    </row>
    <row r="64" spans="1:9" ht="14.45" customHeight="1">
      <c r="A64" s="31">
        <v>63</v>
      </c>
      <c r="B64" s="30" t="s">
        <v>67</v>
      </c>
      <c r="C64" s="32" t="s">
        <v>67</v>
      </c>
      <c r="D64" s="32" t="s">
        <v>67</v>
      </c>
      <c r="E64" s="32" t="s">
        <v>67</v>
      </c>
      <c r="F64" s="30"/>
      <c r="G64" s="30"/>
      <c r="H64" s="30"/>
      <c r="I64" s="32"/>
    </row>
    <row r="65" spans="1:9" ht="14.45" customHeight="1">
      <c r="A65" s="31">
        <v>64</v>
      </c>
      <c r="B65" s="30" t="s">
        <v>67</v>
      </c>
      <c r="C65" s="32" t="s">
        <v>67</v>
      </c>
      <c r="D65" s="32" t="s">
        <v>67</v>
      </c>
      <c r="E65" s="32" t="s">
        <v>67</v>
      </c>
      <c r="F65" s="30"/>
      <c r="G65" s="30"/>
      <c r="H65" s="30"/>
      <c r="I65" s="32"/>
    </row>
    <row r="66" spans="1:9" ht="14.45" customHeight="1">
      <c r="A66" s="31">
        <v>65</v>
      </c>
      <c r="B66" s="30" t="s">
        <v>67</v>
      </c>
      <c r="C66" s="32" t="s">
        <v>67</v>
      </c>
      <c r="D66" s="32" t="s">
        <v>67</v>
      </c>
      <c r="E66" s="32" t="s">
        <v>67</v>
      </c>
      <c r="F66" s="30"/>
      <c r="G66" s="30"/>
      <c r="H66" s="30"/>
      <c r="I66" s="32"/>
    </row>
    <row r="67" spans="1:9" ht="14.45" customHeight="1">
      <c r="A67" s="31">
        <v>66</v>
      </c>
      <c r="B67" s="30" t="s">
        <v>67</v>
      </c>
      <c r="C67" s="32" t="s">
        <v>67</v>
      </c>
      <c r="D67" s="32" t="s">
        <v>67</v>
      </c>
      <c r="E67" s="32" t="s">
        <v>67</v>
      </c>
      <c r="F67" s="30"/>
      <c r="G67" s="30"/>
      <c r="H67" s="30"/>
      <c r="I67" s="32"/>
    </row>
    <row r="68" spans="1:9" ht="14.45" customHeight="1">
      <c r="A68" s="31">
        <v>67</v>
      </c>
      <c r="B68" s="30" t="s">
        <v>67</v>
      </c>
      <c r="C68" s="32" t="s">
        <v>67</v>
      </c>
      <c r="D68" s="32" t="s">
        <v>67</v>
      </c>
      <c r="E68" s="32" t="s">
        <v>67</v>
      </c>
      <c r="F68" s="30"/>
      <c r="G68" s="30"/>
      <c r="H68" s="30"/>
      <c r="I68" s="32"/>
    </row>
    <row r="69" spans="1:9" ht="14.45" customHeight="1">
      <c r="A69" s="31">
        <v>68</v>
      </c>
      <c r="B69" s="30" t="s">
        <v>67</v>
      </c>
      <c r="C69" s="32" t="s">
        <v>67</v>
      </c>
      <c r="D69" s="32" t="s">
        <v>67</v>
      </c>
      <c r="E69" s="32" t="s">
        <v>67</v>
      </c>
      <c r="F69" s="30"/>
      <c r="G69" s="30"/>
      <c r="H69" s="30"/>
      <c r="I69" s="32"/>
    </row>
    <row r="70" spans="1:9" ht="14.45" customHeight="1">
      <c r="A70" s="31">
        <v>69</v>
      </c>
      <c r="B70" s="30" t="s">
        <v>67</v>
      </c>
      <c r="C70" s="32" t="s">
        <v>67</v>
      </c>
      <c r="D70" s="32" t="s">
        <v>67</v>
      </c>
      <c r="E70" s="32" t="s">
        <v>67</v>
      </c>
      <c r="F70" s="30"/>
      <c r="G70" s="30"/>
      <c r="H70" s="30"/>
      <c r="I70" s="32"/>
    </row>
    <row r="71" spans="1:9" ht="14.45" customHeight="1">
      <c r="A71" s="31">
        <v>70</v>
      </c>
      <c r="B71" s="30" t="s">
        <v>67</v>
      </c>
      <c r="C71" s="32" t="s">
        <v>67</v>
      </c>
      <c r="D71" s="32" t="s">
        <v>67</v>
      </c>
      <c r="E71" s="32" t="s">
        <v>67</v>
      </c>
      <c r="F71" s="30"/>
      <c r="G71" s="30"/>
      <c r="H71" s="30"/>
      <c r="I71" s="32"/>
    </row>
    <row r="72" spans="1:9" ht="14.45" customHeight="1">
      <c r="A72" s="31">
        <v>71</v>
      </c>
      <c r="B72" s="30" t="s">
        <v>67</v>
      </c>
      <c r="C72" s="32" t="s">
        <v>67</v>
      </c>
      <c r="D72" s="32" t="s">
        <v>67</v>
      </c>
      <c r="E72" s="32" t="s">
        <v>67</v>
      </c>
      <c r="F72" s="30"/>
      <c r="G72" s="30"/>
      <c r="H72" s="30"/>
      <c r="I72" s="32"/>
    </row>
    <row r="73" spans="1:9" ht="14.45" customHeight="1">
      <c r="A73" s="31">
        <v>72</v>
      </c>
      <c r="B73" s="30" t="s">
        <v>67</v>
      </c>
      <c r="C73" s="32" t="s">
        <v>67</v>
      </c>
      <c r="D73" s="32" t="s">
        <v>67</v>
      </c>
      <c r="E73" s="32" t="s">
        <v>67</v>
      </c>
      <c r="F73" s="30"/>
      <c r="G73" s="30"/>
      <c r="H73" s="30"/>
      <c r="I73" s="32"/>
    </row>
    <row r="74" spans="1:9" ht="14.45" customHeight="1">
      <c r="A74" s="31">
        <v>73</v>
      </c>
      <c r="B74" s="30" t="s">
        <v>67</v>
      </c>
      <c r="C74" s="32" t="s">
        <v>67</v>
      </c>
      <c r="D74" s="32" t="s">
        <v>67</v>
      </c>
      <c r="E74" s="32" t="s">
        <v>67</v>
      </c>
      <c r="F74" s="30"/>
      <c r="G74" s="30"/>
      <c r="H74" s="30"/>
      <c r="I74" s="32"/>
    </row>
    <row r="75" spans="1:9" ht="14.45" customHeight="1">
      <c r="A75" s="31">
        <v>74</v>
      </c>
      <c r="B75" s="30" t="s">
        <v>67</v>
      </c>
      <c r="C75" s="32" t="s">
        <v>67</v>
      </c>
      <c r="D75" s="32" t="s">
        <v>67</v>
      </c>
      <c r="E75" s="32" t="s">
        <v>67</v>
      </c>
      <c r="F75" s="30"/>
      <c r="G75" s="30"/>
      <c r="H75" s="30"/>
      <c r="I75" s="32"/>
    </row>
    <row r="76" spans="1:9" ht="14.45" customHeight="1">
      <c r="A76" s="31">
        <v>75</v>
      </c>
      <c r="B76" s="30" t="s">
        <v>67</v>
      </c>
      <c r="C76" s="32" t="s">
        <v>67</v>
      </c>
      <c r="D76" s="32" t="s">
        <v>67</v>
      </c>
      <c r="E76" s="32" t="s">
        <v>67</v>
      </c>
      <c r="F76" s="30"/>
      <c r="G76" s="30"/>
      <c r="H76" s="30"/>
      <c r="I76" s="32"/>
    </row>
    <row r="77" spans="1:9" ht="14.45" customHeight="1">
      <c r="A77" s="31">
        <v>76</v>
      </c>
      <c r="B77" s="30" t="s">
        <v>67</v>
      </c>
      <c r="C77" s="32" t="s">
        <v>67</v>
      </c>
      <c r="D77" s="32" t="s">
        <v>67</v>
      </c>
      <c r="E77" s="32" t="s">
        <v>67</v>
      </c>
      <c r="F77" s="30"/>
      <c r="G77" s="30"/>
      <c r="H77" s="30"/>
      <c r="I77" s="32"/>
    </row>
    <row r="78" spans="1:9" ht="14.45" customHeight="1">
      <c r="A78" s="31">
        <v>77</v>
      </c>
      <c r="B78" s="30" t="s">
        <v>67</v>
      </c>
      <c r="C78" s="32" t="s">
        <v>67</v>
      </c>
      <c r="D78" s="32" t="s">
        <v>67</v>
      </c>
      <c r="E78" s="32" t="s">
        <v>67</v>
      </c>
      <c r="F78" s="30"/>
      <c r="G78" s="30"/>
      <c r="H78" s="30"/>
      <c r="I78" s="32"/>
    </row>
    <row r="79" spans="1:9" ht="14.45" customHeight="1">
      <c r="A79" s="31">
        <v>78</v>
      </c>
      <c r="B79" s="30" t="s">
        <v>67</v>
      </c>
      <c r="C79" s="32" t="s">
        <v>67</v>
      </c>
      <c r="D79" s="32" t="s">
        <v>67</v>
      </c>
      <c r="E79" s="32" t="s">
        <v>67</v>
      </c>
      <c r="F79" s="30"/>
      <c r="G79" s="30"/>
      <c r="H79" s="30"/>
      <c r="I79" s="32"/>
    </row>
    <row r="80" spans="1:9" ht="14.45" customHeight="1">
      <c r="A80" s="31">
        <v>79</v>
      </c>
      <c r="B80" s="30" t="s">
        <v>67</v>
      </c>
      <c r="C80" s="32" t="s">
        <v>67</v>
      </c>
      <c r="D80" s="32" t="s">
        <v>67</v>
      </c>
      <c r="E80" s="32" t="s">
        <v>67</v>
      </c>
      <c r="F80" s="30"/>
      <c r="G80" s="30"/>
      <c r="H80" s="30"/>
      <c r="I80" s="32"/>
    </row>
    <row r="81" spans="1:9" ht="14.45" customHeight="1">
      <c r="A81" s="31">
        <v>80</v>
      </c>
      <c r="B81" s="30" t="s">
        <v>67</v>
      </c>
      <c r="C81" s="32" t="s">
        <v>67</v>
      </c>
      <c r="D81" s="32" t="s">
        <v>67</v>
      </c>
      <c r="E81" s="32" t="s">
        <v>67</v>
      </c>
      <c r="F81" s="30"/>
      <c r="G81" s="30"/>
      <c r="H81" s="30"/>
      <c r="I81" s="32"/>
    </row>
    <row r="82" spans="1:9" ht="14.45" customHeight="1">
      <c r="A82" s="31">
        <v>81</v>
      </c>
      <c r="B82" s="30" t="s">
        <v>67</v>
      </c>
      <c r="C82" s="32" t="s">
        <v>67</v>
      </c>
      <c r="D82" s="32" t="s">
        <v>67</v>
      </c>
      <c r="E82" s="32" t="s">
        <v>67</v>
      </c>
      <c r="F82" s="30"/>
      <c r="G82" s="30"/>
      <c r="H82" s="30"/>
      <c r="I82" s="32"/>
    </row>
    <row r="83" spans="1:9" ht="14.45" customHeight="1">
      <c r="A83" s="31">
        <v>82</v>
      </c>
      <c r="B83" s="30" t="s">
        <v>67</v>
      </c>
      <c r="C83" s="32" t="s">
        <v>67</v>
      </c>
      <c r="D83" s="32" t="s">
        <v>67</v>
      </c>
      <c r="E83" s="32" t="s">
        <v>67</v>
      </c>
      <c r="F83" s="30"/>
      <c r="G83" s="30"/>
      <c r="H83" s="30"/>
      <c r="I83" s="32"/>
    </row>
    <row r="84" spans="1:9" ht="14.45" customHeight="1">
      <c r="A84" s="31">
        <v>83</v>
      </c>
      <c r="B84" s="30" t="s">
        <v>67</v>
      </c>
      <c r="C84" s="32" t="s">
        <v>67</v>
      </c>
      <c r="D84" s="32" t="s">
        <v>67</v>
      </c>
      <c r="E84" s="32" t="s">
        <v>67</v>
      </c>
      <c r="F84" s="30"/>
      <c r="G84" s="30"/>
      <c r="H84" s="30"/>
      <c r="I84" s="32"/>
    </row>
    <row r="85" spans="1:9" ht="14.45" customHeight="1">
      <c r="A85" s="31">
        <v>84</v>
      </c>
      <c r="B85" s="30" t="s">
        <v>67</v>
      </c>
      <c r="C85" s="32" t="s">
        <v>67</v>
      </c>
      <c r="D85" s="32" t="s">
        <v>67</v>
      </c>
      <c r="E85" s="32" t="s">
        <v>67</v>
      </c>
      <c r="F85" s="30"/>
      <c r="G85" s="30"/>
      <c r="H85" s="30"/>
      <c r="I85" s="32"/>
    </row>
    <row r="86" spans="1:9" ht="14.45" customHeight="1">
      <c r="A86" s="31">
        <v>85</v>
      </c>
      <c r="B86" s="30" t="s">
        <v>67</v>
      </c>
      <c r="C86" s="32" t="s">
        <v>67</v>
      </c>
      <c r="D86" s="32" t="s">
        <v>67</v>
      </c>
      <c r="E86" s="32" t="s">
        <v>67</v>
      </c>
      <c r="F86" s="30"/>
      <c r="G86" s="30"/>
      <c r="H86" s="30"/>
      <c r="I86" s="32"/>
    </row>
    <row r="87" spans="1:9" ht="14.45" customHeight="1">
      <c r="A87" s="31">
        <v>86</v>
      </c>
      <c r="B87" s="30" t="s">
        <v>67</v>
      </c>
      <c r="C87" s="32" t="s">
        <v>67</v>
      </c>
      <c r="D87" s="32" t="s">
        <v>67</v>
      </c>
      <c r="E87" s="32" t="s">
        <v>67</v>
      </c>
      <c r="F87" s="30"/>
      <c r="G87" s="30"/>
      <c r="H87" s="30"/>
      <c r="I87" s="32"/>
    </row>
    <row r="88" spans="1:9" ht="14.45" customHeight="1">
      <c r="A88" s="31">
        <v>87</v>
      </c>
      <c r="B88" s="30" t="s">
        <v>67</v>
      </c>
      <c r="C88" s="32" t="s">
        <v>67</v>
      </c>
      <c r="D88" s="32" t="s">
        <v>67</v>
      </c>
      <c r="E88" s="32" t="s">
        <v>67</v>
      </c>
      <c r="F88" s="30"/>
      <c r="G88" s="30"/>
      <c r="H88" s="30"/>
      <c r="I88" s="32"/>
    </row>
    <row r="89" spans="1:9" ht="14.45" customHeight="1">
      <c r="A89" s="31">
        <v>88</v>
      </c>
      <c r="B89" s="30" t="s">
        <v>67</v>
      </c>
      <c r="C89" s="32" t="s">
        <v>67</v>
      </c>
      <c r="D89" s="32" t="s">
        <v>67</v>
      </c>
      <c r="E89" s="32" t="s">
        <v>67</v>
      </c>
      <c r="F89" s="30"/>
      <c r="G89" s="30"/>
      <c r="H89" s="30"/>
      <c r="I89" s="32"/>
    </row>
    <row r="90" spans="1:9" ht="14.45" customHeight="1">
      <c r="A90" s="31">
        <v>89</v>
      </c>
      <c r="B90" s="30" t="s">
        <v>67</v>
      </c>
      <c r="C90" s="32" t="s">
        <v>67</v>
      </c>
      <c r="D90" s="32" t="s">
        <v>67</v>
      </c>
      <c r="E90" s="32" t="s">
        <v>67</v>
      </c>
      <c r="F90" s="30"/>
      <c r="G90" s="30"/>
      <c r="H90" s="30"/>
      <c r="I90" s="32"/>
    </row>
    <row r="91" spans="1:9" ht="14.45" customHeight="1">
      <c r="A91" s="31">
        <v>90</v>
      </c>
      <c r="B91" s="30" t="s">
        <v>67</v>
      </c>
      <c r="C91" s="32" t="s">
        <v>67</v>
      </c>
      <c r="D91" s="32" t="s">
        <v>67</v>
      </c>
      <c r="E91" s="32" t="s">
        <v>67</v>
      </c>
      <c r="F91" s="30"/>
      <c r="G91" s="30"/>
      <c r="H91" s="30"/>
      <c r="I91" s="32"/>
    </row>
    <row r="92" spans="1:9" ht="14.45" customHeight="1">
      <c r="A92" s="31">
        <v>91</v>
      </c>
      <c r="B92" s="30" t="s">
        <v>67</v>
      </c>
      <c r="C92" s="32" t="s">
        <v>67</v>
      </c>
      <c r="D92" s="32" t="s">
        <v>67</v>
      </c>
      <c r="E92" s="32" t="s">
        <v>67</v>
      </c>
      <c r="F92" s="30"/>
      <c r="G92" s="30"/>
      <c r="H92" s="30"/>
      <c r="I92" s="32"/>
    </row>
    <row r="93" spans="1:9" ht="14.45" customHeight="1">
      <c r="A93" s="31">
        <v>92</v>
      </c>
      <c r="B93" s="30" t="s">
        <v>67</v>
      </c>
      <c r="C93" s="32" t="s">
        <v>67</v>
      </c>
      <c r="D93" s="32" t="s">
        <v>67</v>
      </c>
      <c r="E93" s="32" t="s">
        <v>67</v>
      </c>
      <c r="F93" s="30"/>
      <c r="G93" s="30"/>
      <c r="H93" s="30"/>
      <c r="I93" s="32"/>
    </row>
    <row r="94" spans="1:9" ht="14.45" customHeight="1">
      <c r="A94" s="31">
        <v>93</v>
      </c>
      <c r="B94" s="30" t="s">
        <v>67</v>
      </c>
      <c r="C94" s="32" t="s">
        <v>67</v>
      </c>
      <c r="D94" s="32" t="s">
        <v>67</v>
      </c>
      <c r="E94" s="32" t="s">
        <v>67</v>
      </c>
      <c r="F94" s="30"/>
      <c r="G94" s="30"/>
      <c r="H94" s="30"/>
      <c r="I94" s="32"/>
    </row>
    <row r="95" spans="1:9" ht="14.45" customHeight="1">
      <c r="A95" s="31">
        <v>94</v>
      </c>
      <c r="B95" s="30" t="s">
        <v>67</v>
      </c>
      <c r="C95" s="32" t="s">
        <v>67</v>
      </c>
      <c r="D95" s="32" t="s">
        <v>67</v>
      </c>
      <c r="E95" s="32" t="s">
        <v>67</v>
      </c>
      <c r="F95" s="30"/>
      <c r="G95" s="30"/>
      <c r="H95" s="30"/>
      <c r="I95" s="32"/>
    </row>
    <row r="96" spans="1:9" ht="14.45" customHeight="1">
      <c r="A96" s="31">
        <v>95</v>
      </c>
      <c r="B96" s="30" t="s">
        <v>67</v>
      </c>
      <c r="C96" s="32" t="s">
        <v>67</v>
      </c>
      <c r="D96" s="32" t="s">
        <v>67</v>
      </c>
      <c r="E96" s="32" t="s">
        <v>67</v>
      </c>
      <c r="F96" s="30"/>
      <c r="G96" s="30"/>
      <c r="H96" s="30"/>
      <c r="I96" s="32"/>
    </row>
    <row r="97" spans="1:9" ht="14.45" customHeight="1">
      <c r="A97" s="31">
        <v>96</v>
      </c>
      <c r="B97" s="30" t="s">
        <v>67</v>
      </c>
      <c r="C97" s="32" t="s">
        <v>67</v>
      </c>
      <c r="D97" s="32" t="s">
        <v>67</v>
      </c>
      <c r="E97" s="32" t="s">
        <v>67</v>
      </c>
      <c r="F97" s="30"/>
      <c r="G97" s="30"/>
      <c r="H97" s="30"/>
      <c r="I97" s="32"/>
    </row>
    <row r="98" spans="1:9" ht="14.45" customHeight="1">
      <c r="A98" s="31">
        <v>97</v>
      </c>
      <c r="B98" s="30" t="s">
        <v>67</v>
      </c>
      <c r="C98" s="32" t="s">
        <v>67</v>
      </c>
      <c r="D98" s="32" t="s">
        <v>67</v>
      </c>
      <c r="E98" s="32" t="s">
        <v>67</v>
      </c>
      <c r="F98" s="30"/>
      <c r="G98" s="30"/>
      <c r="H98" s="30"/>
      <c r="I98" s="32"/>
    </row>
    <row r="99" spans="1:9" ht="14.45" customHeight="1">
      <c r="A99" s="31">
        <v>98</v>
      </c>
      <c r="B99" s="30" t="s">
        <v>67</v>
      </c>
      <c r="C99" s="32" t="s">
        <v>67</v>
      </c>
      <c r="D99" s="32" t="s">
        <v>67</v>
      </c>
      <c r="E99" s="32" t="s">
        <v>67</v>
      </c>
      <c r="F99" s="30"/>
      <c r="G99" s="30"/>
      <c r="H99" s="30"/>
      <c r="I99" s="32"/>
    </row>
    <row r="100" spans="1:9" ht="14.45" customHeight="1">
      <c r="A100" s="31">
        <v>99</v>
      </c>
      <c r="B100" s="30" t="s">
        <v>67</v>
      </c>
      <c r="C100" s="32" t="s">
        <v>67</v>
      </c>
      <c r="D100" s="32" t="s">
        <v>67</v>
      </c>
      <c r="E100" s="32" t="s">
        <v>67</v>
      </c>
      <c r="F100" s="30"/>
      <c r="G100" s="30"/>
      <c r="H100" s="30"/>
      <c r="I100" s="32"/>
    </row>
    <row r="101" spans="1:9" ht="14.45" customHeight="1">
      <c r="A101" s="31">
        <v>100</v>
      </c>
      <c r="B101" s="30" t="s">
        <v>67</v>
      </c>
      <c r="C101" s="32" t="s">
        <v>67</v>
      </c>
      <c r="D101" s="32" t="s">
        <v>67</v>
      </c>
      <c r="E101" s="32" t="s">
        <v>67</v>
      </c>
      <c r="F101" s="30"/>
      <c r="G101" s="30"/>
      <c r="H101" s="30"/>
      <c r="I101" s="32"/>
    </row>
    <row r="102" spans="1:9" ht="14.45" customHeight="1">
      <c r="A102" s="31">
        <v>101</v>
      </c>
      <c r="B102" s="30" t="s">
        <v>67</v>
      </c>
      <c r="C102" s="32" t="s">
        <v>67</v>
      </c>
      <c r="D102" s="32" t="s">
        <v>67</v>
      </c>
      <c r="E102" s="32" t="s">
        <v>67</v>
      </c>
      <c r="F102" s="30"/>
      <c r="G102" s="30"/>
      <c r="H102" s="30"/>
      <c r="I102" s="32"/>
    </row>
    <row r="103" spans="1:9" ht="14.45" customHeight="1">
      <c r="A103" s="31">
        <v>102</v>
      </c>
      <c r="B103" s="30" t="s">
        <v>67</v>
      </c>
      <c r="C103" s="32" t="s">
        <v>67</v>
      </c>
      <c r="D103" s="32" t="s">
        <v>67</v>
      </c>
      <c r="E103" s="32" t="s">
        <v>67</v>
      </c>
      <c r="F103" s="30"/>
      <c r="G103" s="30"/>
      <c r="H103" s="30"/>
      <c r="I103" s="32"/>
    </row>
    <row r="104" spans="1:9" ht="14.45" customHeight="1">
      <c r="A104" s="31">
        <v>103</v>
      </c>
      <c r="B104" s="30" t="s">
        <v>67</v>
      </c>
      <c r="C104" s="32" t="s">
        <v>67</v>
      </c>
      <c r="D104" s="32" t="s">
        <v>67</v>
      </c>
      <c r="E104" s="32" t="s">
        <v>67</v>
      </c>
      <c r="F104" s="30"/>
      <c r="G104" s="30"/>
      <c r="H104" s="30"/>
      <c r="I104" s="32"/>
    </row>
    <row r="105" spans="1:9" ht="14.45" customHeight="1">
      <c r="A105" s="31">
        <v>104</v>
      </c>
      <c r="B105" s="30" t="s">
        <v>67</v>
      </c>
      <c r="C105" s="32" t="s">
        <v>67</v>
      </c>
      <c r="D105" s="32" t="s">
        <v>67</v>
      </c>
      <c r="E105" s="32" t="s">
        <v>67</v>
      </c>
      <c r="F105" s="30"/>
      <c r="G105" s="30"/>
      <c r="H105" s="30"/>
      <c r="I105" s="32"/>
    </row>
    <row r="106" spans="1:9" ht="14.45" customHeight="1">
      <c r="A106" s="31">
        <v>105</v>
      </c>
      <c r="B106" s="30" t="s">
        <v>67</v>
      </c>
      <c r="C106" s="32" t="s">
        <v>67</v>
      </c>
      <c r="D106" s="32" t="s">
        <v>67</v>
      </c>
      <c r="E106" s="32" t="s">
        <v>67</v>
      </c>
      <c r="F106" s="30"/>
      <c r="G106" s="30"/>
      <c r="H106" s="30"/>
      <c r="I106" s="32"/>
    </row>
    <row r="107" spans="1:9" ht="14.45" customHeight="1">
      <c r="A107" s="31">
        <v>106</v>
      </c>
      <c r="B107" s="30" t="s">
        <v>67</v>
      </c>
      <c r="C107" s="32" t="s">
        <v>67</v>
      </c>
      <c r="D107" s="32" t="s">
        <v>67</v>
      </c>
      <c r="E107" s="32" t="s">
        <v>67</v>
      </c>
      <c r="F107" s="30"/>
      <c r="G107" s="30"/>
      <c r="H107" s="30"/>
      <c r="I107" s="32"/>
    </row>
    <row r="108" spans="1:9" ht="14.45" customHeight="1">
      <c r="A108" s="31">
        <v>107</v>
      </c>
      <c r="B108" s="30" t="s">
        <v>67</v>
      </c>
      <c r="C108" s="32" t="s">
        <v>67</v>
      </c>
      <c r="D108" s="32" t="s">
        <v>67</v>
      </c>
      <c r="E108" s="32" t="s">
        <v>67</v>
      </c>
      <c r="F108" s="30"/>
      <c r="G108" s="30"/>
      <c r="H108" s="30"/>
      <c r="I108" s="32"/>
    </row>
    <row r="109" spans="1:9" ht="14.45" customHeight="1">
      <c r="A109" s="31">
        <v>108</v>
      </c>
      <c r="B109" s="30" t="s">
        <v>67</v>
      </c>
      <c r="C109" s="32" t="s">
        <v>67</v>
      </c>
      <c r="D109" s="32" t="s">
        <v>67</v>
      </c>
      <c r="E109" s="32" t="s">
        <v>67</v>
      </c>
      <c r="F109" s="30"/>
      <c r="G109" s="30"/>
      <c r="H109" s="30"/>
      <c r="I109" s="32"/>
    </row>
    <row r="110" spans="1:9" ht="14.45" customHeight="1">
      <c r="A110" s="31">
        <v>109</v>
      </c>
      <c r="B110" s="30" t="s">
        <v>67</v>
      </c>
      <c r="C110" s="32" t="s">
        <v>67</v>
      </c>
      <c r="D110" s="32" t="s">
        <v>67</v>
      </c>
      <c r="E110" s="32" t="s">
        <v>67</v>
      </c>
      <c r="F110" s="30"/>
      <c r="G110" s="30"/>
      <c r="H110" s="30"/>
      <c r="I110" s="32"/>
    </row>
    <row r="111" spans="1:9" ht="14.45" customHeight="1">
      <c r="A111" s="31">
        <v>110</v>
      </c>
      <c r="B111" s="30" t="s">
        <v>67</v>
      </c>
      <c r="C111" s="32" t="s">
        <v>67</v>
      </c>
      <c r="D111" s="32" t="s">
        <v>67</v>
      </c>
      <c r="E111" s="32" t="s">
        <v>67</v>
      </c>
      <c r="F111" s="30"/>
      <c r="G111" s="30"/>
      <c r="H111" s="30"/>
      <c r="I111" s="32"/>
    </row>
    <row r="112" spans="1:9" ht="14.45" customHeight="1">
      <c r="A112" s="31">
        <v>111</v>
      </c>
      <c r="B112" s="30" t="s">
        <v>67</v>
      </c>
      <c r="C112" s="32" t="s">
        <v>67</v>
      </c>
      <c r="D112" s="32" t="s">
        <v>67</v>
      </c>
      <c r="E112" s="32" t="s">
        <v>67</v>
      </c>
      <c r="F112" s="30"/>
      <c r="G112" s="30"/>
      <c r="H112" s="30"/>
      <c r="I112" s="32"/>
    </row>
    <row r="113" spans="1:9" ht="14.45" customHeight="1">
      <c r="A113" s="31">
        <v>112</v>
      </c>
      <c r="B113" s="30" t="s">
        <v>67</v>
      </c>
      <c r="C113" s="32" t="s">
        <v>67</v>
      </c>
      <c r="D113" s="32" t="s">
        <v>67</v>
      </c>
      <c r="E113" s="32" t="s">
        <v>67</v>
      </c>
      <c r="F113" s="30"/>
      <c r="G113" s="30"/>
      <c r="H113" s="30"/>
      <c r="I113" s="32"/>
    </row>
    <row r="114" spans="1:9" ht="14.45" customHeight="1">
      <c r="A114" s="31">
        <v>113</v>
      </c>
      <c r="B114" s="30" t="s">
        <v>67</v>
      </c>
      <c r="C114" s="32" t="s">
        <v>67</v>
      </c>
      <c r="D114" s="32" t="s">
        <v>67</v>
      </c>
      <c r="E114" s="32" t="s">
        <v>67</v>
      </c>
      <c r="F114" s="30"/>
      <c r="G114" s="30"/>
      <c r="H114" s="30"/>
      <c r="I114" s="32"/>
    </row>
    <row r="115" spans="1:9" ht="14.45" customHeight="1">
      <c r="A115" s="31">
        <v>114</v>
      </c>
      <c r="B115" s="30" t="s">
        <v>67</v>
      </c>
      <c r="C115" s="32" t="s">
        <v>67</v>
      </c>
      <c r="D115" s="32" t="s">
        <v>67</v>
      </c>
      <c r="E115" s="32" t="s">
        <v>67</v>
      </c>
      <c r="F115" s="30"/>
      <c r="G115" s="30"/>
      <c r="H115" s="30"/>
      <c r="I115" s="32"/>
    </row>
    <row r="116" spans="1:9" ht="14.45" customHeight="1">
      <c r="A116" s="31">
        <v>115</v>
      </c>
      <c r="B116" s="30" t="s">
        <v>67</v>
      </c>
      <c r="C116" s="32" t="s">
        <v>67</v>
      </c>
      <c r="D116" s="32" t="s">
        <v>67</v>
      </c>
      <c r="E116" s="32" t="s">
        <v>67</v>
      </c>
      <c r="F116" s="30"/>
      <c r="G116" s="30"/>
      <c r="H116" s="30"/>
      <c r="I116" s="32"/>
    </row>
    <row r="117" spans="1:9" ht="14.45" customHeight="1">
      <c r="A117" s="31">
        <v>116</v>
      </c>
      <c r="B117" s="30" t="s">
        <v>67</v>
      </c>
      <c r="C117" s="32" t="s">
        <v>67</v>
      </c>
      <c r="D117" s="32" t="s">
        <v>67</v>
      </c>
      <c r="E117" s="32" t="s">
        <v>67</v>
      </c>
      <c r="F117" s="30"/>
      <c r="G117" s="30"/>
      <c r="H117" s="30"/>
      <c r="I117" s="32"/>
    </row>
    <row r="118" spans="1:9" ht="14.45" customHeight="1">
      <c r="A118" s="31">
        <v>117</v>
      </c>
      <c r="B118" s="30" t="s">
        <v>67</v>
      </c>
      <c r="C118" s="32" t="s">
        <v>67</v>
      </c>
      <c r="D118" s="32" t="s">
        <v>67</v>
      </c>
      <c r="E118" s="32" t="s">
        <v>67</v>
      </c>
      <c r="F118" s="30"/>
      <c r="G118" s="30"/>
      <c r="H118" s="30"/>
      <c r="I118" s="32"/>
    </row>
    <row r="119" spans="1:9" ht="14.45" customHeight="1">
      <c r="A119" s="31">
        <v>118</v>
      </c>
      <c r="B119" s="30" t="s">
        <v>67</v>
      </c>
      <c r="C119" s="32" t="s">
        <v>67</v>
      </c>
      <c r="D119" s="32" t="s">
        <v>67</v>
      </c>
      <c r="E119" s="32" t="s">
        <v>67</v>
      </c>
      <c r="F119" s="30"/>
      <c r="G119" s="30"/>
      <c r="H119" s="30"/>
      <c r="I119" s="32"/>
    </row>
    <row r="120" spans="1:9" ht="14.45" customHeight="1">
      <c r="A120" s="31">
        <v>119</v>
      </c>
      <c r="B120" s="30" t="s">
        <v>67</v>
      </c>
      <c r="C120" s="32" t="s">
        <v>67</v>
      </c>
      <c r="D120" s="32" t="s">
        <v>67</v>
      </c>
      <c r="E120" s="32" t="s">
        <v>67</v>
      </c>
      <c r="F120" s="30"/>
      <c r="G120" s="30"/>
      <c r="H120" s="30"/>
      <c r="I120" s="32"/>
    </row>
    <row r="121" spans="1:9" ht="14.45" customHeight="1">
      <c r="A121" s="31">
        <v>120</v>
      </c>
      <c r="B121" s="30" t="s">
        <v>67</v>
      </c>
      <c r="C121" s="32" t="s">
        <v>67</v>
      </c>
      <c r="D121" s="32" t="s">
        <v>67</v>
      </c>
      <c r="E121" s="32" t="s">
        <v>67</v>
      </c>
      <c r="F121" s="30"/>
      <c r="G121" s="30"/>
      <c r="H121" s="30"/>
      <c r="I121" s="32"/>
    </row>
    <row r="122" spans="1:9" ht="14.45" customHeight="1">
      <c r="A122" s="31">
        <v>121</v>
      </c>
      <c r="B122" s="30" t="s">
        <v>67</v>
      </c>
      <c r="C122" s="32" t="s">
        <v>67</v>
      </c>
      <c r="D122" s="32" t="s">
        <v>67</v>
      </c>
      <c r="E122" s="32" t="s">
        <v>67</v>
      </c>
      <c r="F122" s="30"/>
      <c r="G122" s="30"/>
      <c r="H122" s="30"/>
      <c r="I122" s="32"/>
    </row>
    <row r="123" spans="1:9" ht="14.45" customHeight="1">
      <c r="A123" s="31">
        <v>122</v>
      </c>
      <c r="B123" s="30" t="s">
        <v>67</v>
      </c>
      <c r="C123" s="32" t="s">
        <v>67</v>
      </c>
      <c r="D123" s="32" t="s">
        <v>67</v>
      </c>
      <c r="E123" s="32" t="s">
        <v>67</v>
      </c>
      <c r="F123" s="30"/>
      <c r="G123" s="30"/>
      <c r="H123" s="30"/>
      <c r="I123" s="32"/>
    </row>
    <row r="124" spans="1:9" ht="14.45" customHeight="1">
      <c r="A124" s="31">
        <v>123</v>
      </c>
      <c r="B124" s="30" t="s">
        <v>67</v>
      </c>
      <c r="C124" s="32" t="s">
        <v>67</v>
      </c>
      <c r="D124" s="32" t="s">
        <v>67</v>
      </c>
      <c r="E124" s="32" t="s">
        <v>67</v>
      </c>
      <c r="F124" s="30"/>
      <c r="G124" s="30"/>
      <c r="H124" s="30"/>
      <c r="I124" s="32"/>
    </row>
    <row r="125" spans="1:9" ht="14.45" customHeight="1">
      <c r="A125" s="31">
        <v>124</v>
      </c>
      <c r="B125" s="30" t="s">
        <v>67</v>
      </c>
      <c r="C125" s="32" t="s">
        <v>67</v>
      </c>
      <c r="D125" s="32" t="s">
        <v>67</v>
      </c>
      <c r="E125" s="32" t="s">
        <v>67</v>
      </c>
      <c r="F125" s="30"/>
      <c r="G125" s="30"/>
      <c r="H125" s="30"/>
      <c r="I125" s="32"/>
    </row>
    <row r="126" spans="1:9" ht="14.45" customHeight="1">
      <c r="A126" s="31">
        <v>125</v>
      </c>
      <c r="B126" s="30" t="s">
        <v>67</v>
      </c>
      <c r="C126" s="32" t="s">
        <v>67</v>
      </c>
      <c r="D126" s="32" t="s">
        <v>67</v>
      </c>
      <c r="E126" s="32" t="s">
        <v>67</v>
      </c>
      <c r="F126" s="30"/>
      <c r="G126" s="30"/>
      <c r="H126" s="30"/>
      <c r="I126" s="32"/>
    </row>
    <row r="127" spans="1:9" ht="14.45" customHeight="1">
      <c r="A127" s="31">
        <v>126</v>
      </c>
      <c r="B127" s="30" t="s">
        <v>67</v>
      </c>
      <c r="C127" s="32" t="s">
        <v>67</v>
      </c>
      <c r="D127" s="32" t="s">
        <v>67</v>
      </c>
      <c r="E127" s="32" t="s">
        <v>67</v>
      </c>
      <c r="F127" s="30"/>
      <c r="G127" s="30"/>
      <c r="H127" s="30"/>
      <c r="I127" s="32"/>
    </row>
    <row r="128" spans="1:9" ht="14.45" customHeight="1">
      <c r="A128" s="31">
        <v>127</v>
      </c>
      <c r="B128" s="30" t="s">
        <v>67</v>
      </c>
      <c r="C128" s="32" t="s">
        <v>67</v>
      </c>
      <c r="D128" s="32" t="s">
        <v>67</v>
      </c>
      <c r="E128" s="32" t="s">
        <v>67</v>
      </c>
      <c r="F128" s="30"/>
      <c r="G128" s="30"/>
      <c r="H128" s="30"/>
      <c r="I128" s="32"/>
    </row>
    <row r="129" spans="1:9" ht="14.45" customHeight="1">
      <c r="A129" s="31">
        <v>128</v>
      </c>
      <c r="B129" s="30" t="s">
        <v>67</v>
      </c>
      <c r="C129" s="32" t="s">
        <v>67</v>
      </c>
      <c r="D129" s="32" t="s">
        <v>67</v>
      </c>
      <c r="E129" s="32" t="s">
        <v>67</v>
      </c>
      <c r="F129" s="30"/>
      <c r="G129" s="30"/>
      <c r="H129" s="30"/>
      <c r="I129" s="32"/>
    </row>
    <row r="130" spans="1:9" ht="14.45" customHeight="1">
      <c r="A130" s="31">
        <v>129</v>
      </c>
      <c r="B130" s="30" t="s">
        <v>67</v>
      </c>
      <c r="C130" s="32" t="s">
        <v>67</v>
      </c>
      <c r="D130" s="32" t="s">
        <v>67</v>
      </c>
      <c r="E130" s="32" t="s">
        <v>67</v>
      </c>
      <c r="F130" s="30"/>
      <c r="G130" s="30"/>
      <c r="H130" s="30"/>
      <c r="I130" s="32"/>
    </row>
    <row r="131" spans="1:9" ht="14.45" customHeight="1">
      <c r="A131" s="31">
        <v>130</v>
      </c>
      <c r="B131" s="30" t="s">
        <v>67</v>
      </c>
      <c r="C131" s="32" t="s">
        <v>67</v>
      </c>
      <c r="D131" s="32" t="s">
        <v>67</v>
      </c>
      <c r="E131" s="32" t="s">
        <v>67</v>
      </c>
      <c r="F131" s="30"/>
      <c r="G131" s="30"/>
      <c r="H131" s="30"/>
      <c r="I131" s="32"/>
    </row>
    <row r="132" spans="1:9" ht="14.45" customHeight="1">
      <c r="A132" s="31">
        <v>131</v>
      </c>
      <c r="B132" s="30" t="s">
        <v>67</v>
      </c>
      <c r="C132" s="32" t="s">
        <v>67</v>
      </c>
      <c r="D132" s="32" t="s">
        <v>67</v>
      </c>
      <c r="E132" s="32" t="s">
        <v>67</v>
      </c>
      <c r="F132" s="30"/>
      <c r="G132" s="30"/>
      <c r="H132" s="30"/>
      <c r="I132" s="32"/>
    </row>
    <row r="133" spans="1:9" ht="14.45" customHeight="1">
      <c r="A133" s="31">
        <v>132</v>
      </c>
      <c r="B133" s="30" t="s">
        <v>67</v>
      </c>
      <c r="C133" s="32" t="s">
        <v>67</v>
      </c>
      <c r="D133" s="32" t="s">
        <v>67</v>
      </c>
      <c r="E133" s="32" t="s">
        <v>67</v>
      </c>
      <c r="F133" s="30"/>
      <c r="G133" s="30"/>
      <c r="H133" s="30"/>
      <c r="I133" s="32"/>
    </row>
    <row r="134" spans="1:9" ht="14.45" customHeight="1">
      <c r="A134" s="31">
        <v>133</v>
      </c>
      <c r="B134" s="30" t="s">
        <v>67</v>
      </c>
      <c r="C134" s="32" t="s">
        <v>67</v>
      </c>
      <c r="D134" s="32" t="s">
        <v>67</v>
      </c>
      <c r="E134" s="32" t="s">
        <v>67</v>
      </c>
      <c r="F134" s="30"/>
      <c r="G134" s="30"/>
      <c r="H134" s="30"/>
      <c r="I134" s="32"/>
    </row>
    <row r="135" spans="1:9" ht="14.45" customHeight="1">
      <c r="A135" s="31">
        <v>134</v>
      </c>
      <c r="B135" s="30" t="s">
        <v>67</v>
      </c>
      <c r="C135" s="32" t="s">
        <v>67</v>
      </c>
      <c r="D135" s="32" t="s">
        <v>67</v>
      </c>
      <c r="E135" s="32" t="s">
        <v>67</v>
      </c>
      <c r="F135" s="30"/>
      <c r="G135" s="30"/>
      <c r="H135" s="30"/>
      <c r="I135" s="32"/>
    </row>
    <row r="136" spans="1:9" ht="14.45" customHeight="1">
      <c r="A136" s="31">
        <v>135</v>
      </c>
      <c r="B136" s="30" t="s">
        <v>67</v>
      </c>
      <c r="C136" s="32" t="s">
        <v>67</v>
      </c>
      <c r="D136" s="32" t="s">
        <v>67</v>
      </c>
      <c r="E136" s="32" t="s">
        <v>67</v>
      </c>
      <c r="F136" s="30"/>
      <c r="G136" s="30"/>
      <c r="H136" s="30"/>
      <c r="I136" s="32"/>
    </row>
    <row r="137" spans="1:9" ht="14.45" customHeight="1">
      <c r="A137" s="31">
        <v>136</v>
      </c>
      <c r="B137" s="30" t="s">
        <v>67</v>
      </c>
      <c r="C137" s="32" t="s">
        <v>67</v>
      </c>
      <c r="D137" s="32" t="s">
        <v>67</v>
      </c>
      <c r="E137" s="32" t="s">
        <v>67</v>
      </c>
      <c r="F137" s="30"/>
      <c r="G137" s="30"/>
      <c r="H137" s="30"/>
      <c r="I137" s="32"/>
    </row>
    <row r="138" spans="1:9" ht="14.45" customHeight="1">
      <c r="A138" s="31">
        <v>137</v>
      </c>
      <c r="B138" s="30" t="s">
        <v>67</v>
      </c>
      <c r="C138" s="32" t="s">
        <v>67</v>
      </c>
      <c r="D138" s="32" t="s">
        <v>67</v>
      </c>
      <c r="E138" s="32" t="s">
        <v>67</v>
      </c>
      <c r="F138" s="30"/>
      <c r="G138" s="30"/>
      <c r="H138" s="30"/>
      <c r="I138" s="32"/>
    </row>
    <row r="139" spans="1:9" ht="14.45" customHeight="1">
      <c r="A139" s="31">
        <v>138</v>
      </c>
      <c r="B139" s="30" t="s">
        <v>67</v>
      </c>
      <c r="C139" s="32" t="s">
        <v>67</v>
      </c>
      <c r="D139" s="32" t="s">
        <v>67</v>
      </c>
      <c r="E139" s="32" t="s">
        <v>67</v>
      </c>
      <c r="F139" s="30"/>
      <c r="G139" s="30"/>
      <c r="H139" s="30"/>
      <c r="I139" s="32"/>
    </row>
    <row r="140" spans="1:9" ht="14.45" customHeight="1">
      <c r="A140" s="31">
        <v>139</v>
      </c>
      <c r="B140" s="30" t="s">
        <v>67</v>
      </c>
      <c r="C140" s="32" t="s">
        <v>67</v>
      </c>
      <c r="D140" s="32" t="s">
        <v>67</v>
      </c>
      <c r="E140" s="32" t="s">
        <v>67</v>
      </c>
      <c r="F140" s="30"/>
      <c r="G140" s="30"/>
      <c r="H140" s="30"/>
      <c r="I140" s="32"/>
    </row>
    <row r="141" spans="1:9" ht="14.45" customHeight="1">
      <c r="A141" s="31">
        <v>140</v>
      </c>
      <c r="B141" s="30" t="s">
        <v>67</v>
      </c>
      <c r="C141" s="32" t="s">
        <v>67</v>
      </c>
      <c r="D141" s="32" t="s">
        <v>67</v>
      </c>
      <c r="E141" s="32" t="s">
        <v>67</v>
      </c>
      <c r="F141" s="30"/>
      <c r="G141" s="30"/>
      <c r="H141" s="30"/>
      <c r="I141" s="32"/>
    </row>
    <row r="142" spans="1:9" ht="14.45" customHeight="1">
      <c r="A142" s="31">
        <v>141</v>
      </c>
      <c r="B142" s="30" t="s">
        <v>67</v>
      </c>
      <c r="C142" s="32" t="s">
        <v>67</v>
      </c>
      <c r="D142" s="32" t="s">
        <v>67</v>
      </c>
      <c r="E142" s="32" t="s">
        <v>67</v>
      </c>
      <c r="F142" s="30"/>
      <c r="G142" s="30"/>
      <c r="H142" s="30"/>
      <c r="I142" s="32"/>
    </row>
    <row r="143" spans="1:9" ht="14.45" customHeight="1">
      <c r="A143" s="31">
        <v>142</v>
      </c>
      <c r="B143" s="30" t="s">
        <v>67</v>
      </c>
      <c r="C143" s="32" t="s">
        <v>67</v>
      </c>
      <c r="D143" s="32" t="s">
        <v>67</v>
      </c>
      <c r="E143" s="32" t="s">
        <v>67</v>
      </c>
      <c r="F143" s="30"/>
      <c r="G143" s="30"/>
      <c r="H143" s="30"/>
      <c r="I143" s="32"/>
    </row>
    <row r="144" spans="1:9" ht="14.45" customHeight="1">
      <c r="A144" s="31">
        <v>143</v>
      </c>
      <c r="B144" s="30" t="s">
        <v>67</v>
      </c>
      <c r="C144" s="32" t="s">
        <v>67</v>
      </c>
      <c r="D144" s="32" t="s">
        <v>67</v>
      </c>
      <c r="E144" s="32" t="s">
        <v>67</v>
      </c>
      <c r="F144" s="30"/>
      <c r="G144" s="30"/>
      <c r="H144" s="30"/>
      <c r="I144" s="32"/>
    </row>
    <row r="145" spans="1:9" ht="14.45" customHeight="1">
      <c r="A145" s="31">
        <v>144</v>
      </c>
      <c r="B145" s="30" t="s">
        <v>67</v>
      </c>
      <c r="C145" s="32" t="s">
        <v>67</v>
      </c>
      <c r="D145" s="32" t="s">
        <v>67</v>
      </c>
      <c r="E145" s="32" t="s">
        <v>67</v>
      </c>
      <c r="F145" s="30"/>
      <c r="G145" s="30"/>
      <c r="H145" s="30"/>
      <c r="I145" s="32"/>
    </row>
    <row r="146" spans="1:9" ht="14.45" customHeight="1">
      <c r="A146" s="31">
        <v>145</v>
      </c>
      <c r="B146" s="30" t="s">
        <v>67</v>
      </c>
      <c r="C146" s="32" t="s">
        <v>67</v>
      </c>
      <c r="D146" s="32" t="s">
        <v>67</v>
      </c>
      <c r="E146" s="32" t="s">
        <v>67</v>
      </c>
      <c r="F146" s="30"/>
      <c r="G146" s="30"/>
      <c r="H146" s="30"/>
      <c r="I146" s="32"/>
    </row>
    <row r="147" spans="1:9" ht="14.45" customHeight="1">
      <c r="A147" s="31">
        <v>146</v>
      </c>
      <c r="B147" s="30" t="s">
        <v>67</v>
      </c>
      <c r="C147" s="32" t="s">
        <v>67</v>
      </c>
      <c r="D147" s="32" t="s">
        <v>67</v>
      </c>
      <c r="E147" s="32" t="s">
        <v>67</v>
      </c>
      <c r="F147" s="30"/>
      <c r="G147" s="30"/>
      <c r="H147" s="30"/>
      <c r="I147" s="32"/>
    </row>
    <row r="148" spans="1:9" ht="14.45" customHeight="1">
      <c r="A148" s="31">
        <v>147</v>
      </c>
      <c r="B148" s="30" t="s">
        <v>67</v>
      </c>
      <c r="C148" s="32" t="s">
        <v>67</v>
      </c>
      <c r="D148" s="32" t="s">
        <v>67</v>
      </c>
      <c r="E148" s="32" t="s">
        <v>67</v>
      </c>
      <c r="F148" s="30"/>
      <c r="G148" s="30"/>
      <c r="H148" s="30"/>
      <c r="I148" s="32"/>
    </row>
    <row r="149" spans="1:9" ht="14.45" customHeight="1">
      <c r="A149" s="31">
        <v>148</v>
      </c>
      <c r="B149" s="30" t="s">
        <v>67</v>
      </c>
      <c r="C149" s="32" t="s">
        <v>67</v>
      </c>
      <c r="D149" s="32" t="s">
        <v>67</v>
      </c>
      <c r="E149" s="32" t="s">
        <v>67</v>
      </c>
      <c r="F149" s="30"/>
      <c r="G149" s="30"/>
      <c r="H149" s="30"/>
      <c r="I149" s="32"/>
    </row>
    <row r="150" spans="1:9" ht="14.45" customHeight="1">
      <c r="A150" s="31">
        <v>149</v>
      </c>
      <c r="B150" s="30" t="s">
        <v>67</v>
      </c>
      <c r="C150" s="32" t="s">
        <v>67</v>
      </c>
      <c r="D150" s="32" t="s">
        <v>67</v>
      </c>
      <c r="E150" s="32" t="s">
        <v>67</v>
      </c>
      <c r="F150" s="30"/>
      <c r="G150" s="30"/>
      <c r="H150" s="30"/>
      <c r="I150" s="32"/>
    </row>
    <row r="151" spans="1:9" ht="14.45" customHeight="1">
      <c r="A151" s="31">
        <v>150</v>
      </c>
      <c r="B151" s="30" t="s">
        <v>67</v>
      </c>
      <c r="C151" s="32" t="s">
        <v>67</v>
      </c>
      <c r="D151" s="32" t="s">
        <v>67</v>
      </c>
      <c r="E151" s="32" t="s">
        <v>67</v>
      </c>
      <c r="F151" s="30"/>
      <c r="G151" s="30"/>
      <c r="H151" s="30"/>
      <c r="I151" s="32"/>
    </row>
    <row r="152" spans="1:9" ht="14.45" customHeight="1">
      <c r="A152" s="31">
        <v>151</v>
      </c>
      <c r="B152" s="30" t="s">
        <v>67</v>
      </c>
      <c r="C152" s="32" t="s">
        <v>67</v>
      </c>
      <c r="D152" s="32" t="s">
        <v>67</v>
      </c>
      <c r="E152" s="32" t="s">
        <v>67</v>
      </c>
      <c r="F152" s="30"/>
      <c r="G152" s="30"/>
      <c r="H152" s="30"/>
      <c r="I152" s="32"/>
    </row>
    <row r="153" spans="1:9" ht="14.45" customHeight="1">
      <c r="A153" s="31">
        <v>152</v>
      </c>
      <c r="B153" s="30" t="s">
        <v>67</v>
      </c>
      <c r="C153" s="32" t="s">
        <v>67</v>
      </c>
      <c r="D153" s="32" t="s">
        <v>67</v>
      </c>
      <c r="E153" s="32" t="s">
        <v>67</v>
      </c>
      <c r="F153" s="30"/>
      <c r="G153" s="30"/>
      <c r="H153" s="30"/>
      <c r="I153" s="32"/>
    </row>
    <row r="154" spans="1:9" ht="14.45" customHeight="1">
      <c r="A154" s="31">
        <v>153</v>
      </c>
      <c r="B154" s="30" t="s">
        <v>67</v>
      </c>
      <c r="C154" s="32" t="s">
        <v>67</v>
      </c>
      <c r="D154" s="32" t="s">
        <v>67</v>
      </c>
      <c r="E154" s="32" t="s">
        <v>67</v>
      </c>
      <c r="F154" s="30"/>
      <c r="G154" s="30"/>
      <c r="H154" s="30"/>
      <c r="I154" s="32"/>
    </row>
    <row r="155" spans="1:9" ht="14.45" customHeight="1">
      <c r="A155" s="31">
        <v>154</v>
      </c>
      <c r="B155" s="30" t="s">
        <v>67</v>
      </c>
      <c r="C155" s="32" t="s">
        <v>67</v>
      </c>
      <c r="D155" s="32" t="s">
        <v>67</v>
      </c>
      <c r="E155" s="32" t="s">
        <v>67</v>
      </c>
      <c r="F155" s="30"/>
      <c r="G155" s="30"/>
      <c r="H155" s="30"/>
      <c r="I155" s="32"/>
    </row>
    <row r="156" spans="1:9" ht="14.45" customHeight="1">
      <c r="A156" s="31">
        <v>155</v>
      </c>
      <c r="B156" s="30" t="s">
        <v>67</v>
      </c>
      <c r="C156" s="32" t="s">
        <v>67</v>
      </c>
      <c r="D156" s="32" t="s">
        <v>67</v>
      </c>
      <c r="E156" s="32" t="s">
        <v>67</v>
      </c>
      <c r="F156" s="30"/>
      <c r="G156" s="30"/>
      <c r="H156" s="30"/>
      <c r="I156" s="32"/>
    </row>
    <row r="157" spans="1:9" ht="14.45" customHeight="1">
      <c r="A157" s="31">
        <v>156</v>
      </c>
      <c r="B157" s="30" t="s">
        <v>67</v>
      </c>
      <c r="C157" s="32" t="s">
        <v>67</v>
      </c>
      <c r="D157" s="32" t="s">
        <v>67</v>
      </c>
      <c r="E157" s="32" t="s">
        <v>67</v>
      </c>
      <c r="F157" s="30"/>
      <c r="G157" s="30"/>
      <c r="H157" s="30"/>
      <c r="I157" s="32"/>
    </row>
    <row r="158" spans="1:9" ht="14.45" customHeight="1">
      <c r="A158" s="31">
        <v>157</v>
      </c>
      <c r="B158" s="30" t="s">
        <v>67</v>
      </c>
      <c r="C158" s="32" t="s">
        <v>67</v>
      </c>
      <c r="D158" s="32" t="s">
        <v>67</v>
      </c>
      <c r="E158" s="32" t="s">
        <v>67</v>
      </c>
      <c r="F158" s="30"/>
      <c r="G158" s="30"/>
      <c r="H158" s="30"/>
      <c r="I158" s="32"/>
    </row>
    <row r="159" spans="1:9" ht="14.45" customHeight="1">
      <c r="A159" s="31">
        <v>158</v>
      </c>
      <c r="B159" s="30" t="s">
        <v>67</v>
      </c>
      <c r="C159" s="32" t="s">
        <v>67</v>
      </c>
      <c r="D159" s="32" t="s">
        <v>67</v>
      </c>
      <c r="E159" s="32" t="s">
        <v>67</v>
      </c>
      <c r="F159" s="30"/>
      <c r="G159" s="30"/>
      <c r="H159" s="30"/>
      <c r="I159" s="32"/>
    </row>
    <row r="160" spans="1:9" ht="14.45" customHeight="1">
      <c r="A160" s="31">
        <v>159</v>
      </c>
      <c r="B160" s="30" t="s">
        <v>67</v>
      </c>
      <c r="C160" s="32" t="s">
        <v>67</v>
      </c>
      <c r="D160" s="32" t="s">
        <v>67</v>
      </c>
      <c r="E160" s="32" t="s">
        <v>67</v>
      </c>
      <c r="F160" s="30"/>
      <c r="G160" s="30"/>
      <c r="H160" s="30"/>
      <c r="I160" s="32"/>
    </row>
    <row r="161" spans="1:9" ht="14.45" customHeight="1">
      <c r="A161" s="31">
        <v>160</v>
      </c>
      <c r="B161" s="30" t="s">
        <v>67</v>
      </c>
      <c r="C161" s="32" t="s">
        <v>67</v>
      </c>
      <c r="D161" s="32" t="s">
        <v>67</v>
      </c>
      <c r="E161" s="32" t="s">
        <v>67</v>
      </c>
      <c r="F161" s="30"/>
      <c r="G161" s="30"/>
      <c r="H161" s="30"/>
      <c r="I161" s="32"/>
    </row>
    <row r="162" spans="1:9" ht="14.45" customHeight="1">
      <c r="A162" s="31">
        <v>161</v>
      </c>
      <c r="B162" s="30" t="s">
        <v>67</v>
      </c>
      <c r="C162" s="32" t="s">
        <v>67</v>
      </c>
      <c r="D162" s="32" t="s">
        <v>67</v>
      </c>
      <c r="E162" s="32" t="s">
        <v>67</v>
      </c>
      <c r="F162" s="30"/>
      <c r="G162" s="30"/>
      <c r="H162" s="30"/>
      <c r="I162" s="32"/>
    </row>
    <row r="163" spans="1:9" ht="14.45" customHeight="1">
      <c r="A163" s="31">
        <v>162</v>
      </c>
      <c r="B163" s="30" t="s">
        <v>67</v>
      </c>
      <c r="C163" s="32" t="s">
        <v>67</v>
      </c>
      <c r="D163" s="32" t="s">
        <v>67</v>
      </c>
      <c r="E163" s="32" t="s">
        <v>67</v>
      </c>
      <c r="F163" s="30"/>
      <c r="G163" s="30"/>
      <c r="H163" s="30"/>
      <c r="I163" s="32"/>
    </row>
    <row r="164" spans="1:9" ht="14.45" customHeight="1">
      <c r="A164" s="31">
        <v>163</v>
      </c>
      <c r="B164" s="30" t="s">
        <v>67</v>
      </c>
      <c r="C164" s="32" t="s">
        <v>67</v>
      </c>
      <c r="D164" s="32" t="s">
        <v>67</v>
      </c>
      <c r="E164" s="32" t="s">
        <v>67</v>
      </c>
      <c r="F164" s="30"/>
      <c r="G164" s="30"/>
      <c r="H164" s="30"/>
      <c r="I164" s="32"/>
    </row>
    <row r="165" spans="1:9" ht="14.45" customHeight="1">
      <c r="A165" s="31">
        <v>164</v>
      </c>
      <c r="B165" s="30" t="s">
        <v>67</v>
      </c>
      <c r="C165" s="32" t="s">
        <v>67</v>
      </c>
      <c r="D165" s="32" t="s">
        <v>67</v>
      </c>
      <c r="E165" s="32" t="s">
        <v>67</v>
      </c>
      <c r="F165" s="30"/>
      <c r="G165" s="30"/>
      <c r="H165" s="30"/>
      <c r="I165" s="32"/>
    </row>
    <row r="166" spans="1:9" ht="14.45" customHeight="1">
      <c r="A166" s="31">
        <v>165</v>
      </c>
      <c r="B166" s="30" t="s">
        <v>67</v>
      </c>
      <c r="C166" s="32" t="s">
        <v>67</v>
      </c>
      <c r="D166" s="32" t="s">
        <v>67</v>
      </c>
      <c r="E166" s="32" t="s">
        <v>67</v>
      </c>
      <c r="F166" s="30"/>
      <c r="G166" s="30"/>
      <c r="H166" s="30"/>
      <c r="I166" s="32"/>
    </row>
    <row r="167" spans="1:9" ht="14.45" customHeight="1">
      <c r="A167" s="31">
        <v>166</v>
      </c>
      <c r="B167" s="30" t="s">
        <v>67</v>
      </c>
      <c r="C167" s="32" t="s">
        <v>67</v>
      </c>
      <c r="D167" s="32" t="s">
        <v>67</v>
      </c>
      <c r="E167" s="32" t="s">
        <v>67</v>
      </c>
      <c r="F167" s="30"/>
      <c r="G167" s="30"/>
      <c r="H167" s="30"/>
      <c r="I167" s="32"/>
    </row>
    <row r="168" spans="1:9" ht="14.45" customHeight="1">
      <c r="A168" s="31">
        <v>167</v>
      </c>
      <c r="B168" s="30" t="s">
        <v>67</v>
      </c>
      <c r="C168" s="32" t="s">
        <v>67</v>
      </c>
      <c r="D168" s="32" t="s">
        <v>67</v>
      </c>
      <c r="E168" s="32" t="s">
        <v>67</v>
      </c>
      <c r="F168" s="30"/>
      <c r="G168" s="30"/>
      <c r="H168" s="30"/>
      <c r="I168" s="32"/>
    </row>
    <row r="169" spans="1:9" ht="14.45" customHeight="1">
      <c r="A169" s="31">
        <v>168</v>
      </c>
      <c r="B169" s="30" t="s">
        <v>67</v>
      </c>
      <c r="C169" s="32" t="s">
        <v>67</v>
      </c>
      <c r="D169" s="32" t="s">
        <v>67</v>
      </c>
      <c r="E169" s="32" t="s">
        <v>67</v>
      </c>
      <c r="F169" s="30"/>
      <c r="G169" s="30"/>
      <c r="H169" s="30"/>
      <c r="I169" s="32"/>
    </row>
    <row r="170" spans="1:9" ht="14.45" customHeight="1">
      <c r="A170" s="31">
        <v>169</v>
      </c>
      <c r="B170" s="30" t="s">
        <v>67</v>
      </c>
      <c r="C170" s="32" t="s">
        <v>67</v>
      </c>
      <c r="D170" s="32" t="s">
        <v>67</v>
      </c>
      <c r="E170" s="32" t="s">
        <v>67</v>
      </c>
      <c r="F170" s="30"/>
      <c r="G170" s="30"/>
      <c r="H170" s="30"/>
      <c r="I170" s="32"/>
    </row>
    <row r="171" spans="1:9" ht="14.45" customHeight="1">
      <c r="A171" s="31">
        <v>170</v>
      </c>
      <c r="B171" s="30" t="s">
        <v>67</v>
      </c>
      <c r="C171" s="32" t="s">
        <v>67</v>
      </c>
      <c r="D171" s="32" t="s">
        <v>67</v>
      </c>
      <c r="E171" s="32" t="s">
        <v>67</v>
      </c>
      <c r="F171" s="30"/>
      <c r="G171" s="30"/>
      <c r="H171" s="30"/>
      <c r="I171" s="32"/>
    </row>
    <row r="172" spans="1:9" ht="14.45" customHeight="1">
      <c r="A172" s="31">
        <v>171</v>
      </c>
      <c r="B172" s="30" t="s">
        <v>67</v>
      </c>
      <c r="C172" s="32" t="s">
        <v>67</v>
      </c>
      <c r="D172" s="32" t="s">
        <v>67</v>
      </c>
      <c r="E172" s="32" t="s">
        <v>67</v>
      </c>
      <c r="F172" s="30"/>
      <c r="G172" s="30"/>
      <c r="H172" s="30"/>
      <c r="I172" s="32"/>
    </row>
    <row r="173" spans="1:9" ht="14.45" customHeight="1">
      <c r="A173" s="31">
        <v>172</v>
      </c>
      <c r="B173" s="30" t="s">
        <v>67</v>
      </c>
      <c r="C173" s="32" t="s">
        <v>67</v>
      </c>
      <c r="D173" s="32" t="s">
        <v>67</v>
      </c>
      <c r="E173" s="32" t="s">
        <v>67</v>
      </c>
      <c r="F173" s="30"/>
      <c r="G173" s="30"/>
      <c r="H173" s="30"/>
      <c r="I173" s="32"/>
    </row>
    <row r="174" spans="1:9" ht="14.45" customHeight="1">
      <c r="A174" s="31">
        <v>173</v>
      </c>
      <c r="B174" s="30" t="s">
        <v>67</v>
      </c>
      <c r="C174" s="32" t="s">
        <v>67</v>
      </c>
      <c r="D174" s="32" t="s">
        <v>67</v>
      </c>
      <c r="E174" s="32" t="s">
        <v>67</v>
      </c>
      <c r="F174" s="30"/>
      <c r="G174" s="30"/>
      <c r="H174" s="30"/>
      <c r="I174" s="32"/>
    </row>
    <row r="175" spans="1:9" ht="14.45" customHeight="1">
      <c r="A175" s="31">
        <v>174</v>
      </c>
      <c r="B175" s="30" t="s">
        <v>67</v>
      </c>
      <c r="C175" s="32" t="s">
        <v>67</v>
      </c>
      <c r="D175" s="32" t="s">
        <v>67</v>
      </c>
      <c r="E175" s="32" t="s">
        <v>67</v>
      </c>
      <c r="F175" s="30"/>
      <c r="G175" s="30"/>
      <c r="H175" s="30"/>
      <c r="I175" s="32"/>
    </row>
    <row r="176" spans="1:9" ht="14.45" customHeight="1">
      <c r="A176" s="31">
        <v>175</v>
      </c>
      <c r="B176" s="30" t="s">
        <v>67</v>
      </c>
      <c r="C176" s="32" t="s">
        <v>67</v>
      </c>
      <c r="D176" s="32" t="s">
        <v>67</v>
      </c>
      <c r="E176" s="32" t="s">
        <v>67</v>
      </c>
      <c r="F176" s="30"/>
      <c r="G176" s="30"/>
      <c r="H176" s="30"/>
      <c r="I176" s="32"/>
    </row>
    <row r="177" spans="1:9" ht="14.45" customHeight="1">
      <c r="A177" s="31">
        <v>176</v>
      </c>
      <c r="B177" s="30" t="s">
        <v>67</v>
      </c>
      <c r="C177" s="32" t="s">
        <v>67</v>
      </c>
      <c r="D177" s="32" t="s">
        <v>67</v>
      </c>
      <c r="E177" s="32" t="s">
        <v>67</v>
      </c>
      <c r="F177" s="30"/>
      <c r="G177" s="30"/>
      <c r="H177" s="30"/>
      <c r="I177" s="32"/>
    </row>
    <row r="178" spans="1:9" ht="14.45" customHeight="1">
      <c r="A178" s="31">
        <v>177</v>
      </c>
      <c r="B178" s="30" t="s">
        <v>67</v>
      </c>
      <c r="C178" s="32" t="s">
        <v>67</v>
      </c>
      <c r="D178" s="32" t="s">
        <v>67</v>
      </c>
      <c r="E178" s="32" t="s">
        <v>67</v>
      </c>
      <c r="F178" s="30"/>
      <c r="G178" s="30"/>
      <c r="H178" s="30"/>
      <c r="I178" s="32"/>
    </row>
    <row r="179" spans="1:9" ht="14.45" customHeight="1">
      <c r="A179" s="31">
        <v>178</v>
      </c>
      <c r="B179" s="30" t="s">
        <v>67</v>
      </c>
      <c r="C179" s="32" t="s">
        <v>67</v>
      </c>
      <c r="D179" s="32" t="s">
        <v>67</v>
      </c>
      <c r="E179" s="32" t="s">
        <v>67</v>
      </c>
      <c r="F179" s="30"/>
      <c r="G179" s="30"/>
      <c r="H179" s="30"/>
      <c r="I179" s="32"/>
    </row>
    <row r="180" spans="1:9" ht="14.45" customHeight="1">
      <c r="A180" s="31">
        <v>179</v>
      </c>
      <c r="B180" s="30" t="s">
        <v>67</v>
      </c>
      <c r="C180" s="32" t="s">
        <v>67</v>
      </c>
      <c r="D180" s="32" t="s">
        <v>67</v>
      </c>
      <c r="E180" s="32" t="s">
        <v>67</v>
      </c>
      <c r="F180" s="30"/>
      <c r="G180" s="30"/>
      <c r="H180" s="30"/>
      <c r="I180" s="32"/>
    </row>
    <row r="181" spans="1:9" ht="14.45" customHeight="1">
      <c r="A181" s="31">
        <v>180</v>
      </c>
      <c r="B181" s="30" t="s">
        <v>67</v>
      </c>
      <c r="C181" s="32" t="s">
        <v>67</v>
      </c>
      <c r="D181" s="32" t="s">
        <v>67</v>
      </c>
      <c r="E181" s="32" t="s">
        <v>67</v>
      </c>
      <c r="F181" s="30"/>
      <c r="G181" s="30"/>
      <c r="H181" s="30"/>
      <c r="I181" s="32"/>
    </row>
    <row r="182" spans="1:9" ht="14.45" customHeight="1">
      <c r="A182" s="31">
        <v>181</v>
      </c>
      <c r="B182" s="30" t="s">
        <v>67</v>
      </c>
      <c r="C182" s="32" t="s">
        <v>67</v>
      </c>
      <c r="D182" s="32" t="s">
        <v>67</v>
      </c>
      <c r="E182" s="32" t="s">
        <v>67</v>
      </c>
      <c r="F182" s="30"/>
      <c r="G182" s="30"/>
      <c r="H182" s="30"/>
      <c r="I182" s="32"/>
    </row>
    <row r="183" spans="1:9" ht="14.45" customHeight="1">
      <c r="A183" s="31">
        <v>182</v>
      </c>
      <c r="B183" s="30" t="s">
        <v>67</v>
      </c>
      <c r="C183" s="32" t="s">
        <v>67</v>
      </c>
      <c r="D183" s="32" t="s">
        <v>67</v>
      </c>
      <c r="E183" s="32" t="s">
        <v>67</v>
      </c>
      <c r="F183" s="30"/>
      <c r="G183" s="30"/>
      <c r="H183" s="30"/>
      <c r="I183" s="32"/>
    </row>
    <row r="184" spans="1:9" ht="14.45" customHeight="1">
      <c r="A184" s="31">
        <v>183</v>
      </c>
      <c r="B184" s="30" t="s">
        <v>67</v>
      </c>
      <c r="C184" s="32" t="s">
        <v>67</v>
      </c>
      <c r="D184" s="32" t="s">
        <v>67</v>
      </c>
      <c r="E184" s="32" t="s">
        <v>67</v>
      </c>
      <c r="F184" s="30"/>
      <c r="G184" s="30"/>
      <c r="H184" s="30"/>
      <c r="I184" s="32"/>
    </row>
    <row r="185" spans="1:9" ht="14.45" customHeight="1">
      <c r="A185" s="31">
        <v>184</v>
      </c>
      <c r="B185" s="30" t="s">
        <v>67</v>
      </c>
      <c r="C185" s="32" t="s">
        <v>67</v>
      </c>
      <c r="D185" s="32" t="s">
        <v>67</v>
      </c>
      <c r="E185" s="32" t="s">
        <v>67</v>
      </c>
      <c r="F185" s="30"/>
      <c r="G185" s="30"/>
      <c r="H185" s="30"/>
      <c r="I185" s="32"/>
    </row>
    <row r="186" spans="1:9" ht="14.45" customHeight="1">
      <c r="A186" s="31">
        <v>185</v>
      </c>
      <c r="B186" s="30" t="s">
        <v>67</v>
      </c>
      <c r="C186" s="32" t="s">
        <v>67</v>
      </c>
      <c r="D186" s="32" t="s">
        <v>67</v>
      </c>
      <c r="E186" s="32" t="s">
        <v>67</v>
      </c>
      <c r="F186" s="30"/>
      <c r="G186" s="30"/>
      <c r="H186" s="30"/>
      <c r="I186" s="32"/>
    </row>
    <row r="187" spans="1:9" ht="14.45" customHeight="1">
      <c r="A187" s="31">
        <v>186</v>
      </c>
      <c r="B187" s="30" t="s">
        <v>67</v>
      </c>
      <c r="C187" s="32" t="s">
        <v>67</v>
      </c>
      <c r="D187" s="32" t="s">
        <v>67</v>
      </c>
      <c r="E187" s="32" t="s">
        <v>67</v>
      </c>
      <c r="F187" s="30"/>
      <c r="G187" s="30"/>
      <c r="H187" s="30"/>
      <c r="I187" s="32"/>
    </row>
    <row r="188" spans="1:9" ht="14.45" customHeight="1">
      <c r="A188" s="31">
        <v>187</v>
      </c>
      <c r="B188" s="30" t="s">
        <v>67</v>
      </c>
      <c r="C188" s="32" t="s">
        <v>67</v>
      </c>
      <c r="D188" s="32" t="s">
        <v>67</v>
      </c>
      <c r="E188" s="32" t="s">
        <v>67</v>
      </c>
      <c r="F188" s="30"/>
      <c r="G188" s="30"/>
      <c r="H188" s="30"/>
      <c r="I188" s="32"/>
    </row>
    <row r="189" spans="1:9" ht="14.45" customHeight="1">
      <c r="A189" s="31">
        <v>188</v>
      </c>
      <c r="B189" s="30" t="s">
        <v>67</v>
      </c>
      <c r="C189" s="32" t="s">
        <v>67</v>
      </c>
      <c r="D189" s="32" t="s">
        <v>67</v>
      </c>
      <c r="E189" s="32" t="s">
        <v>67</v>
      </c>
      <c r="F189" s="30"/>
      <c r="G189" s="30"/>
      <c r="H189" s="30"/>
      <c r="I189" s="32"/>
    </row>
    <row r="190" spans="1:9" ht="14.45" customHeight="1">
      <c r="A190" s="31">
        <v>189</v>
      </c>
      <c r="B190" s="30" t="s">
        <v>67</v>
      </c>
      <c r="C190" s="32" t="s">
        <v>67</v>
      </c>
      <c r="D190" s="32" t="s">
        <v>67</v>
      </c>
      <c r="E190" s="32" t="s">
        <v>67</v>
      </c>
      <c r="F190" s="30"/>
      <c r="G190" s="30"/>
      <c r="H190" s="30"/>
      <c r="I190" s="32"/>
    </row>
    <row r="191" spans="1:9" ht="14.45" customHeight="1">
      <c r="A191" s="31">
        <v>190</v>
      </c>
      <c r="B191" s="30" t="s">
        <v>67</v>
      </c>
      <c r="C191" s="32" t="s">
        <v>67</v>
      </c>
      <c r="D191" s="32" t="s">
        <v>67</v>
      </c>
      <c r="E191" s="32" t="s">
        <v>67</v>
      </c>
      <c r="F191" s="30"/>
      <c r="G191" s="30"/>
      <c r="H191" s="30"/>
      <c r="I191" s="32"/>
    </row>
    <row r="192" spans="1:9" ht="14.45" customHeight="1">
      <c r="A192" s="31">
        <v>191</v>
      </c>
      <c r="B192" s="30" t="s">
        <v>67</v>
      </c>
      <c r="C192" s="32" t="s">
        <v>67</v>
      </c>
      <c r="D192" s="32" t="s">
        <v>67</v>
      </c>
      <c r="E192" s="32" t="s">
        <v>67</v>
      </c>
      <c r="F192" s="30"/>
      <c r="G192" s="30"/>
      <c r="H192" s="30"/>
      <c r="I192" s="32"/>
    </row>
    <row r="193" spans="1:9" ht="14.45" customHeight="1">
      <c r="A193" s="31">
        <v>192</v>
      </c>
      <c r="B193" s="30" t="s">
        <v>67</v>
      </c>
      <c r="C193" s="32" t="s">
        <v>67</v>
      </c>
      <c r="D193" s="32" t="s">
        <v>67</v>
      </c>
      <c r="E193" s="32" t="s">
        <v>67</v>
      </c>
      <c r="F193" s="30"/>
      <c r="G193" s="30"/>
      <c r="H193" s="30"/>
      <c r="I193" s="32"/>
    </row>
    <row r="194" spans="1:9" ht="14.45" customHeight="1">
      <c r="A194" s="31">
        <v>193</v>
      </c>
      <c r="B194" s="30" t="s">
        <v>67</v>
      </c>
      <c r="C194" s="32" t="s">
        <v>67</v>
      </c>
      <c r="D194" s="32" t="s">
        <v>67</v>
      </c>
      <c r="E194" s="32" t="s">
        <v>67</v>
      </c>
      <c r="F194" s="30"/>
      <c r="G194" s="30"/>
      <c r="H194" s="30"/>
      <c r="I194" s="32"/>
    </row>
    <row r="195" spans="1:9" ht="14.45" customHeight="1">
      <c r="A195" s="31">
        <v>194</v>
      </c>
      <c r="B195" s="30" t="s">
        <v>67</v>
      </c>
      <c r="C195" s="32" t="s">
        <v>67</v>
      </c>
      <c r="D195" s="32" t="s">
        <v>67</v>
      </c>
      <c r="E195" s="32" t="s">
        <v>67</v>
      </c>
      <c r="F195" s="30"/>
      <c r="G195" s="30"/>
      <c r="H195" s="30"/>
      <c r="I195" s="32"/>
    </row>
    <row r="196" spans="1:9" ht="14.45" customHeight="1">
      <c r="A196" s="31">
        <v>195</v>
      </c>
      <c r="B196" s="30" t="s">
        <v>67</v>
      </c>
      <c r="C196" s="32" t="s">
        <v>67</v>
      </c>
      <c r="D196" s="32" t="s">
        <v>67</v>
      </c>
      <c r="E196" s="32" t="s">
        <v>67</v>
      </c>
      <c r="F196" s="30"/>
      <c r="G196" s="30"/>
      <c r="H196" s="30"/>
      <c r="I196" s="32"/>
    </row>
    <row r="197" spans="1:9" ht="14.45" customHeight="1">
      <c r="A197" s="31">
        <v>196</v>
      </c>
      <c r="B197" s="30" t="s">
        <v>67</v>
      </c>
      <c r="C197" s="32" t="s">
        <v>67</v>
      </c>
      <c r="D197" s="32" t="s">
        <v>67</v>
      </c>
      <c r="E197" s="32" t="s">
        <v>67</v>
      </c>
      <c r="F197" s="30"/>
      <c r="G197" s="30"/>
      <c r="H197" s="30"/>
      <c r="I197" s="32"/>
    </row>
    <row r="198" spans="1:9" ht="14.45" customHeight="1">
      <c r="A198" s="31">
        <v>197</v>
      </c>
      <c r="B198" s="30" t="s">
        <v>67</v>
      </c>
      <c r="C198" s="32" t="s">
        <v>67</v>
      </c>
      <c r="D198" s="32" t="s">
        <v>67</v>
      </c>
      <c r="E198" s="32" t="s">
        <v>67</v>
      </c>
      <c r="F198" s="30"/>
      <c r="G198" s="30"/>
      <c r="H198" s="30"/>
      <c r="I198" s="32"/>
    </row>
    <row r="199" spans="1:9" ht="14.45" customHeight="1">
      <c r="A199" s="31">
        <v>198</v>
      </c>
      <c r="B199" s="30" t="s">
        <v>67</v>
      </c>
      <c r="C199" s="32" t="s">
        <v>67</v>
      </c>
      <c r="D199" s="32" t="s">
        <v>67</v>
      </c>
      <c r="E199" s="32" t="s">
        <v>67</v>
      </c>
      <c r="F199" s="30"/>
      <c r="G199" s="30"/>
      <c r="H199" s="30"/>
      <c r="I199" s="32"/>
    </row>
    <row r="200" spans="1:9" ht="14.45" customHeight="1">
      <c r="A200" s="31">
        <v>199</v>
      </c>
      <c r="B200" s="30" t="s">
        <v>67</v>
      </c>
      <c r="C200" s="32" t="s">
        <v>67</v>
      </c>
      <c r="D200" s="32" t="s">
        <v>67</v>
      </c>
      <c r="E200" s="32" t="s">
        <v>67</v>
      </c>
      <c r="F200" s="30"/>
      <c r="G200" s="30"/>
      <c r="H200" s="30"/>
      <c r="I200" s="32"/>
    </row>
    <row r="201" spans="1:9" ht="14.45" customHeight="1">
      <c r="A201" s="31">
        <v>200</v>
      </c>
      <c r="B201" s="30" t="s">
        <v>67</v>
      </c>
      <c r="C201" s="32" t="s">
        <v>67</v>
      </c>
      <c r="D201" s="32" t="s">
        <v>67</v>
      </c>
      <c r="E201" s="32" t="s">
        <v>67</v>
      </c>
      <c r="F201" s="30"/>
      <c r="G201" s="30"/>
      <c r="H201" s="30"/>
      <c r="I201" s="3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1"/>
  <sheetViews>
    <sheetView showGridLines="0" workbookViewId="0">
      <selection activeCell="I4" sqref="I4"/>
    </sheetView>
  </sheetViews>
  <sheetFormatPr defaultRowHeight="14.45"/>
  <cols>
    <col min="1" max="1" width="5" customWidth="1"/>
    <col min="2" max="2" width="28" customWidth="1"/>
    <col min="3" max="3" width="21.140625" customWidth="1"/>
    <col min="4" max="4" width="35" customWidth="1"/>
    <col min="5" max="6" width="28" customWidth="1"/>
  </cols>
  <sheetData>
    <row r="1" spans="1:6">
      <c r="A1" s="3" t="s">
        <v>35</v>
      </c>
      <c r="B1" s="3" t="s">
        <v>131</v>
      </c>
      <c r="C1" s="3" t="s">
        <v>132</v>
      </c>
      <c r="D1" s="3" t="s">
        <v>133</v>
      </c>
      <c r="E1" s="3" t="s">
        <v>134</v>
      </c>
      <c r="F1" s="3" t="s">
        <v>135</v>
      </c>
    </row>
    <row r="2" spans="1:6" ht="45.75">
      <c r="A2" s="5">
        <v>1</v>
      </c>
      <c r="B2" s="14" t="s">
        <v>90</v>
      </c>
      <c r="C2" s="14" t="s">
        <v>136</v>
      </c>
      <c r="D2" s="7" t="s">
        <v>137</v>
      </c>
      <c r="E2" s="7" t="s">
        <v>138</v>
      </c>
      <c r="F2" s="7" t="s">
        <v>139</v>
      </c>
    </row>
    <row r="3" spans="1:6" ht="45.75">
      <c r="A3" s="5">
        <v>2</v>
      </c>
      <c r="B3" s="7" t="s">
        <v>69</v>
      </c>
      <c r="C3" s="7" t="s">
        <v>140</v>
      </c>
      <c r="D3" s="7" t="s">
        <v>141</v>
      </c>
      <c r="E3" s="7" t="s">
        <v>142</v>
      </c>
      <c r="F3" s="7" t="s">
        <v>143</v>
      </c>
    </row>
    <row r="4" spans="1:6" ht="137.25">
      <c r="A4" s="5">
        <v>3</v>
      </c>
      <c r="B4" s="7" t="s">
        <v>144</v>
      </c>
      <c r="C4" s="7" t="s">
        <v>145</v>
      </c>
      <c r="D4" s="7" t="s">
        <v>146</v>
      </c>
      <c r="E4" s="7" t="s">
        <v>147</v>
      </c>
      <c r="F4" s="7" t="s">
        <v>148</v>
      </c>
    </row>
    <row r="5" spans="1:6" ht="60.75">
      <c r="A5" s="5">
        <v>4</v>
      </c>
      <c r="B5" s="7" t="s">
        <v>106</v>
      </c>
      <c r="C5" s="7" t="s">
        <v>136</v>
      </c>
      <c r="D5" s="7" t="s">
        <v>149</v>
      </c>
      <c r="E5" s="7" t="s">
        <v>150</v>
      </c>
      <c r="F5" s="7" t="s">
        <v>151</v>
      </c>
    </row>
    <row r="6" spans="1:6" ht="45.75">
      <c r="A6" s="5">
        <v>5</v>
      </c>
      <c r="B6" s="7" t="s">
        <v>152</v>
      </c>
      <c r="C6" s="7" t="s">
        <v>145</v>
      </c>
      <c r="D6" s="7" t="s">
        <v>153</v>
      </c>
      <c r="E6" s="7" t="s">
        <v>154</v>
      </c>
      <c r="F6" s="7" t="s">
        <v>155</v>
      </c>
    </row>
    <row r="7" spans="1:6">
      <c r="A7" s="5">
        <v>6</v>
      </c>
      <c r="B7" s="7"/>
      <c r="C7" s="7"/>
      <c r="D7" s="7"/>
      <c r="E7" s="7"/>
      <c r="F7" s="7"/>
    </row>
    <row r="8" spans="1:6">
      <c r="A8" s="5">
        <v>7</v>
      </c>
      <c r="B8" s="7"/>
      <c r="C8" s="7"/>
      <c r="D8" s="7"/>
      <c r="E8" s="7"/>
      <c r="F8" s="7"/>
    </row>
    <row r="9" spans="1:6">
      <c r="A9" s="5">
        <v>8</v>
      </c>
      <c r="B9" s="7"/>
      <c r="C9" s="7"/>
      <c r="D9" s="7"/>
      <c r="E9" s="7"/>
      <c r="F9" s="7"/>
    </row>
    <row r="10" spans="1:6">
      <c r="A10" s="5">
        <v>9</v>
      </c>
      <c r="B10" s="7"/>
      <c r="C10" s="7"/>
      <c r="D10" s="7"/>
      <c r="E10" s="7"/>
      <c r="F10" s="7"/>
    </row>
    <row r="11" spans="1:6">
      <c r="A11" s="5">
        <v>10</v>
      </c>
      <c r="B11" s="7"/>
      <c r="C11" s="7"/>
      <c r="D11" s="7"/>
      <c r="E11" s="7"/>
      <c r="F11" s="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01"/>
  <sheetViews>
    <sheetView showGridLines="0" workbookViewId="0">
      <selection activeCell="L14" sqref="L14"/>
    </sheetView>
  </sheetViews>
  <sheetFormatPr defaultRowHeight="15"/>
  <cols>
    <col min="1" max="1" width="5" customWidth="1"/>
    <col min="2" max="2" width="16" style="20" customWidth="1"/>
    <col min="3" max="3" width="22" style="18" customWidth="1"/>
    <col min="4" max="4" width="20" style="18" customWidth="1"/>
    <col min="5" max="5" width="25" style="18" customWidth="1"/>
    <col min="6" max="6" width="23" style="18" customWidth="1"/>
    <col min="7" max="7" width="30.28515625" style="18" customWidth="1"/>
    <col min="8" max="8" width="50.42578125" style="18" customWidth="1"/>
  </cols>
  <sheetData>
    <row r="1" spans="1:8">
      <c r="A1" s="3" t="s">
        <v>35</v>
      </c>
      <c r="B1" s="21" t="s">
        <v>156</v>
      </c>
      <c r="C1" s="16" t="s">
        <v>131</v>
      </c>
      <c r="D1" s="16" t="s">
        <v>157</v>
      </c>
      <c r="E1" s="16" t="s">
        <v>158</v>
      </c>
      <c r="F1" s="16" t="s">
        <v>159</v>
      </c>
      <c r="G1" s="16" t="s">
        <v>160</v>
      </c>
      <c r="H1" s="16" t="s">
        <v>161</v>
      </c>
    </row>
    <row r="2" spans="1:8" ht="72.75">
      <c r="A2" s="5">
        <v>1</v>
      </c>
      <c r="B2" s="19" t="s">
        <v>162</v>
      </c>
      <c r="C2" s="17" t="s">
        <v>90</v>
      </c>
      <c r="D2" s="17" t="s">
        <v>163</v>
      </c>
      <c r="E2" s="17" t="s">
        <v>164</v>
      </c>
      <c r="F2" s="17" t="s">
        <v>165</v>
      </c>
      <c r="G2" s="17" t="s">
        <v>166</v>
      </c>
      <c r="H2" s="17" t="s">
        <v>167</v>
      </c>
    </row>
    <row r="3" spans="1:8" ht="84" customHeight="1">
      <c r="A3" s="5">
        <v>2</v>
      </c>
      <c r="B3" s="19" t="s">
        <v>162</v>
      </c>
      <c r="C3" s="17" t="s">
        <v>168</v>
      </c>
      <c r="D3" s="17" t="s">
        <v>169</v>
      </c>
      <c r="E3" s="17" t="s">
        <v>170</v>
      </c>
      <c r="F3" s="17" t="s">
        <v>171</v>
      </c>
      <c r="G3" s="17" t="s">
        <v>172</v>
      </c>
      <c r="H3" s="17" t="s">
        <v>173</v>
      </c>
    </row>
    <row r="4" spans="1:8" ht="137.25" customHeight="1">
      <c r="A4" s="5">
        <v>3</v>
      </c>
      <c r="B4" s="19" t="s">
        <v>162</v>
      </c>
      <c r="C4" s="17" t="s">
        <v>174</v>
      </c>
      <c r="D4" s="17" t="s">
        <v>175</v>
      </c>
      <c r="E4" s="17" t="s">
        <v>176</v>
      </c>
      <c r="F4" s="17" t="s">
        <v>177</v>
      </c>
      <c r="G4" s="17" t="s">
        <v>178</v>
      </c>
      <c r="H4" s="17" t="s">
        <v>179</v>
      </c>
    </row>
    <row r="5" spans="1:8" ht="130.5" customHeight="1">
      <c r="A5" s="5">
        <v>4</v>
      </c>
      <c r="B5" s="19" t="s">
        <v>162</v>
      </c>
      <c r="C5" s="17" t="s">
        <v>93</v>
      </c>
      <c r="D5" s="17" t="s">
        <v>180</v>
      </c>
      <c r="E5" s="17" t="s">
        <v>181</v>
      </c>
      <c r="F5" s="17" t="s">
        <v>182</v>
      </c>
      <c r="G5" s="17" t="s">
        <v>183</v>
      </c>
      <c r="H5" s="17" t="s">
        <v>184</v>
      </c>
    </row>
    <row r="6" spans="1:8" ht="96" customHeight="1">
      <c r="A6" s="5">
        <v>5</v>
      </c>
      <c r="B6" s="19" t="s">
        <v>185</v>
      </c>
      <c r="C6" s="17" t="s">
        <v>186</v>
      </c>
      <c r="D6" s="17" t="s">
        <v>187</v>
      </c>
      <c r="E6" s="17" t="s">
        <v>188</v>
      </c>
      <c r="F6" s="17" t="s">
        <v>189</v>
      </c>
      <c r="G6" s="17" t="s">
        <v>190</v>
      </c>
      <c r="H6" s="17" t="s">
        <v>191</v>
      </c>
    </row>
    <row r="7" spans="1:8" ht="76.5" customHeight="1">
      <c r="A7" s="5">
        <v>6</v>
      </c>
      <c r="B7" s="19" t="s">
        <v>185</v>
      </c>
      <c r="C7" s="17" t="s">
        <v>152</v>
      </c>
      <c r="D7" s="17" t="s">
        <v>192</v>
      </c>
      <c r="E7" s="17" t="s">
        <v>193</v>
      </c>
      <c r="F7" s="17" t="s">
        <v>194</v>
      </c>
      <c r="G7" s="17" t="s">
        <v>195</v>
      </c>
      <c r="H7" s="17" t="s">
        <v>196</v>
      </c>
    </row>
    <row r="8" spans="1:8" ht="69.75" customHeight="1">
      <c r="A8" s="5">
        <v>7</v>
      </c>
      <c r="B8" s="19" t="s">
        <v>185</v>
      </c>
      <c r="C8" s="17" t="s">
        <v>119</v>
      </c>
      <c r="D8" s="17" t="s">
        <v>197</v>
      </c>
      <c r="E8" s="17" t="s">
        <v>198</v>
      </c>
      <c r="F8" s="17" t="s">
        <v>199</v>
      </c>
      <c r="G8" s="17" t="s">
        <v>200</v>
      </c>
      <c r="H8" s="17" t="s">
        <v>201</v>
      </c>
    </row>
    <row r="9" spans="1:8" ht="75.75" customHeight="1">
      <c r="A9" s="5">
        <v>8</v>
      </c>
      <c r="B9" s="19" t="s">
        <v>185</v>
      </c>
      <c r="C9" s="17" t="s">
        <v>202</v>
      </c>
      <c r="D9" s="17" t="s">
        <v>203</v>
      </c>
      <c r="E9" s="17" t="s">
        <v>204</v>
      </c>
      <c r="F9" s="17" t="s">
        <v>205</v>
      </c>
      <c r="G9" s="17" t="s">
        <v>206</v>
      </c>
      <c r="H9" s="17" t="s">
        <v>207</v>
      </c>
    </row>
    <row r="10" spans="1:8" ht="78" customHeight="1">
      <c r="A10" s="5">
        <v>9</v>
      </c>
      <c r="B10" s="19" t="s">
        <v>208</v>
      </c>
      <c r="C10" s="17" t="s">
        <v>86</v>
      </c>
      <c r="D10" s="17" t="s">
        <v>209</v>
      </c>
      <c r="E10" s="17" t="s">
        <v>210</v>
      </c>
      <c r="F10" s="17" t="s">
        <v>211</v>
      </c>
      <c r="G10" s="17" t="s">
        <v>212</v>
      </c>
      <c r="H10" s="17" t="s">
        <v>213</v>
      </c>
    </row>
    <row r="11" spans="1:8" ht="79.5" customHeight="1">
      <c r="A11" s="5">
        <v>10</v>
      </c>
      <c r="B11" s="19" t="s">
        <v>214</v>
      </c>
      <c r="C11" s="17" t="s">
        <v>114</v>
      </c>
      <c r="D11" s="17" t="s">
        <v>215</v>
      </c>
      <c r="E11" s="17" t="s">
        <v>216</v>
      </c>
      <c r="F11" s="17" t="s">
        <v>217</v>
      </c>
      <c r="G11" s="17" t="s">
        <v>218</v>
      </c>
      <c r="H11" s="17" t="s">
        <v>219</v>
      </c>
    </row>
    <row r="12" spans="1:8">
      <c r="A12" s="5">
        <v>11</v>
      </c>
      <c r="B12" s="22"/>
      <c r="C12" s="7"/>
      <c r="D12" s="7"/>
      <c r="E12" s="7"/>
      <c r="F12" s="7" t="s">
        <v>162</v>
      </c>
      <c r="G12" s="7" t="s">
        <v>185</v>
      </c>
      <c r="H12" s="7"/>
    </row>
    <row r="13" spans="1:8" ht="30.75">
      <c r="A13" s="5">
        <v>12</v>
      </c>
      <c r="B13" s="22"/>
      <c r="C13" s="7"/>
      <c r="D13" s="7"/>
      <c r="E13" s="7" t="s">
        <v>220</v>
      </c>
      <c r="F13" s="26" t="s">
        <v>221</v>
      </c>
      <c r="G13" s="25" t="s">
        <v>222</v>
      </c>
      <c r="H13" s="7"/>
    </row>
    <row r="14" spans="1:8">
      <c r="A14" s="5">
        <v>13</v>
      </c>
      <c r="B14" s="22"/>
      <c r="C14" s="7"/>
      <c r="D14" s="7"/>
      <c r="E14" s="7"/>
      <c r="F14" s="7"/>
      <c r="G14" s="7"/>
      <c r="H14" s="7"/>
    </row>
    <row r="15" spans="1:8">
      <c r="A15" s="5">
        <v>14</v>
      </c>
      <c r="B15" s="22"/>
      <c r="C15" s="7"/>
      <c r="D15" s="7"/>
      <c r="E15" s="7"/>
      <c r="F15" s="7"/>
      <c r="G15" s="7"/>
      <c r="H15" s="7"/>
    </row>
    <row r="16" spans="1:8">
      <c r="A16" s="5">
        <v>15</v>
      </c>
      <c r="B16" s="22"/>
      <c r="C16" s="7"/>
      <c r="D16" s="7"/>
      <c r="E16" s="7"/>
      <c r="F16" s="7"/>
      <c r="G16" s="7"/>
      <c r="H16" s="7"/>
    </row>
    <row r="17" spans="1:11">
      <c r="A17" s="5">
        <v>16</v>
      </c>
      <c r="B17" s="22"/>
      <c r="C17" s="7"/>
      <c r="D17" s="7"/>
      <c r="E17" s="7"/>
      <c r="F17" s="7"/>
      <c r="G17" s="7"/>
      <c r="H17" s="14"/>
    </row>
    <row r="18" spans="1:11">
      <c r="A18" s="5">
        <v>17</v>
      </c>
      <c r="B18" s="22"/>
      <c r="C18" s="7"/>
      <c r="D18" s="7"/>
      <c r="E18" s="7"/>
      <c r="F18" s="7"/>
      <c r="G18" s="7"/>
      <c r="H18" s="7"/>
    </row>
    <row r="19" spans="1:11">
      <c r="A19" s="5">
        <v>18</v>
      </c>
      <c r="B19" s="22"/>
      <c r="C19" s="7"/>
      <c r="D19" s="7"/>
      <c r="E19" s="7"/>
      <c r="F19" s="7"/>
      <c r="G19" s="7"/>
      <c r="H19" s="7"/>
      <c r="K19" s="15" t="b">
        <v>0</v>
      </c>
    </row>
    <row r="20" spans="1:11">
      <c r="A20" s="5">
        <v>19</v>
      </c>
      <c r="B20" s="22"/>
      <c r="C20" s="7"/>
      <c r="D20" s="7"/>
      <c r="E20" s="7"/>
      <c r="F20" s="7"/>
      <c r="G20" s="7"/>
      <c r="H20" s="7"/>
    </row>
    <row r="21" spans="1:11">
      <c r="A21" s="5">
        <v>20</v>
      </c>
      <c r="B21" s="22"/>
      <c r="C21" s="7"/>
      <c r="D21" s="7"/>
      <c r="E21" s="7"/>
      <c r="F21" s="7"/>
      <c r="G21" s="7"/>
      <c r="H21" s="7"/>
    </row>
    <row r="22" spans="1:11">
      <c r="A22" s="5">
        <v>21</v>
      </c>
      <c r="B22" s="22"/>
      <c r="C22" s="7"/>
      <c r="D22" s="7"/>
      <c r="E22" s="7"/>
      <c r="F22" s="7"/>
      <c r="G22" s="7"/>
      <c r="H22" s="7"/>
    </row>
    <row r="23" spans="1:11">
      <c r="A23" s="5">
        <v>22</v>
      </c>
      <c r="B23" s="22"/>
      <c r="C23" s="7"/>
      <c r="D23" s="7"/>
      <c r="E23" s="7"/>
      <c r="F23" s="7"/>
      <c r="G23" s="7"/>
      <c r="H23" s="7"/>
    </row>
    <row r="24" spans="1:11">
      <c r="A24" s="5">
        <v>23</v>
      </c>
      <c r="B24" s="22"/>
      <c r="C24" s="7"/>
      <c r="D24" s="7"/>
      <c r="E24" s="7"/>
      <c r="F24" s="7"/>
      <c r="G24" s="7"/>
      <c r="H24" s="7"/>
    </row>
    <row r="25" spans="1:11">
      <c r="A25" s="5">
        <v>24</v>
      </c>
      <c r="B25" s="22"/>
      <c r="C25" s="7"/>
      <c r="D25" s="7"/>
      <c r="E25" s="7"/>
      <c r="F25" s="7"/>
      <c r="G25" s="7"/>
      <c r="H25" s="7"/>
    </row>
    <row r="26" spans="1:11">
      <c r="A26" s="5">
        <v>25</v>
      </c>
      <c r="B26" s="22"/>
      <c r="C26" s="7"/>
      <c r="D26" s="7"/>
      <c r="E26" s="7"/>
      <c r="F26" s="7"/>
      <c r="G26" s="7"/>
      <c r="H26" s="7"/>
    </row>
    <row r="27" spans="1:11">
      <c r="A27" s="5">
        <v>26</v>
      </c>
      <c r="B27" s="22"/>
      <c r="C27" s="7"/>
      <c r="D27" s="7"/>
      <c r="E27" s="7"/>
      <c r="F27" s="7"/>
      <c r="G27" s="7"/>
      <c r="H27" s="7"/>
    </row>
    <row r="28" spans="1:11">
      <c r="A28" s="5">
        <v>27</v>
      </c>
      <c r="B28" s="22"/>
      <c r="C28" s="7"/>
      <c r="D28" s="7"/>
      <c r="E28" s="7"/>
      <c r="F28" s="7"/>
      <c r="G28" s="7"/>
      <c r="H28" s="7"/>
    </row>
    <row r="29" spans="1:11">
      <c r="A29" s="5">
        <v>28</v>
      </c>
      <c r="B29" s="22"/>
      <c r="C29" s="7"/>
      <c r="D29" s="7"/>
      <c r="E29" s="7"/>
      <c r="F29" s="7"/>
      <c r="G29" s="7"/>
      <c r="H29" s="7"/>
    </row>
    <row r="30" spans="1:11">
      <c r="A30" s="5">
        <v>29</v>
      </c>
      <c r="B30" s="22"/>
      <c r="C30" s="7"/>
      <c r="D30" s="7"/>
      <c r="E30" s="7"/>
      <c r="F30" s="7"/>
      <c r="G30" s="7"/>
      <c r="H30" s="7"/>
    </row>
    <row r="31" spans="1:11">
      <c r="A31" s="5">
        <v>30</v>
      </c>
      <c r="B31" s="22"/>
      <c r="C31" s="7"/>
      <c r="D31" s="7"/>
      <c r="E31" s="7"/>
      <c r="F31" s="7"/>
      <c r="G31" s="7"/>
      <c r="H31" s="7"/>
    </row>
    <row r="32" spans="1:11">
      <c r="A32" s="5">
        <v>31</v>
      </c>
      <c r="B32" s="22"/>
      <c r="C32" s="7"/>
      <c r="D32" s="7"/>
      <c r="E32" s="7"/>
      <c r="F32" s="7"/>
      <c r="G32" s="7"/>
      <c r="H32" s="7"/>
    </row>
    <row r="33" spans="1:8">
      <c r="A33" s="5">
        <v>32</v>
      </c>
      <c r="B33" s="22"/>
      <c r="C33" s="7"/>
      <c r="D33" s="7"/>
      <c r="E33" s="7"/>
      <c r="F33" s="7"/>
      <c r="G33" s="7"/>
      <c r="H33" s="7"/>
    </row>
    <row r="34" spans="1:8">
      <c r="A34" s="5">
        <v>33</v>
      </c>
      <c r="B34" s="22"/>
      <c r="C34" s="7"/>
      <c r="D34" s="7"/>
      <c r="E34" s="7"/>
      <c r="F34" s="7"/>
      <c r="G34" s="7"/>
      <c r="H34" s="7"/>
    </row>
    <row r="35" spans="1:8">
      <c r="A35" s="5">
        <v>34</v>
      </c>
      <c r="B35" s="22"/>
      <c r="C35" s="7"/>
      <c r="D35" s="7"/>
      <c r="E35" s="7"/>
      <c r="F35" s="7"/>
      <c r="G35" s="7"/>
      <c r="H35" s="7"/>
    </row>
    <row r="36" spans="1:8">
      <c r="A36" s="5">
        <v>35</v>
      </c>
      <c r="B36" s="22"/>
      <c r="C36" s="7"/>
      <c r="D36" s="7"/>
      <c r="E36" s="7"/>
      <c r="F36" s="7"/>
      <c r="G36" s="7"/>
      <c r="H36" s="7"/>
    </row>
    <row r="37" spans="1:8">
      <c r="A37" s="5">
        <v>36</v>
      </c>
      <c r="B37" s="22"/>
      <c r="C37" s="7"/>
      <c r="D37" s="7"/>
      <c r="E37" s="7"/>
      <c r="F37" s="7"/>
      <c r="G37" s="7"/>
      <c r="H37" s="7"/>
    </row>
    <row r="38" spans="1:8">
      <c r="A38" s="5">
        <v>37</v>
      </c>
      <c r="B38" s="22"/>
      <c r="C38" s="7"/>
      <c r="D38" s="7"/>
      <c r="E38" s="7"/>
      <c r="F38" s="7"/>
      <c r="G38" s="7"/>
      <c r="H38" s="7"/>
    </row>
    <row r="39" spans="1:8">
      <c r="A39" s="5">
        <v>38</v>
      </c>
      <c r="B39" s="22"/>
      <c r="C39" s="7"/>
      <c r="D39" s="7"/>
      <c r="E39" s="7"/>
      <c r="F39" s="7"/>
      <c r="G39" s="7"/>
      <c r="H39" s="7"/>
    </row>
    <row r="40" spans="1:8">
      <c r="A40" s="5">
        <v>39</v>
      </c>
      <c r="B40" s="22"/>
      <c r="C40" s="7"/>
      <c r="D40" s="7"/>
      <c r="E40" s="7"/>
      <c r="F40" s="7"/>
      <c r="G40" s="7"/>
      <c r="H40" s="7"/>
    </row>
    <row r="41" spans="1:8">
      <c r="A41" s="5">
        <v>40</v>
      </c>
      <c r="B41" s="22"/>
      <c r="C41" s="7"/>
      <c r="D41" s="7"/>
      <c r="E41" s="7"/>
      <c r="F41" s="7"/>
      <c r="G41" s="7"/>
      <c r="H41" s="7"/>
    </row>
    <row r="42" spans="1:8">
      <c r="A42" s="5">
        <v>41</v>
      </c>
      <c r="B42" s="22"/>
      <c r="C42" s="7"/>
      <c r="D42" s="7"/>
      <c r="E42" s="7"/>
      <c r="F42" s="7"/>
      <c r="G42" s="7"/>
      <c r="H42" s="7"/>
    </row>
    <row r="43" spans="1:8">
      <c r="A43" s="5">
        <v>42</v>
      </c>
      <c r="B43" s="22"/>
      <c r="C43" s="7"/>
      <c r="D43" s="7"/>
      <c r="E43" s="7"/>
      <c r="F43" s="7"/>
      <c r="G43" s="7"/>
      <c r="H43" s="7"/>
    </row>
    <row r="44" spans="1:8">
      <c r="A44" s="5">
        <v>43</v>
      </c>
      <c r="B44" s="22"/>
      <c r="C44" s="7"/>
      <c r="D44" s="7"/>
      <c r="E44" s="7"/>
      <c r="F44" s="7"/>
      <c r="G44" s="7"/>
      <c r="H44" s="7"/>
    </row>
    <row r="45" spans="1:8">
      <c r="A45" s="5">
        <v>44</v>
      </c>
      <c r="B45" s="22"/>
      <c r="C45" s="7"/>
      <c r="D45" s="7"/>
      <c r="E45" s="7"/>
      <c r="F45" s="7"/>
      <c r="G45" s="7"/>
      <c r="H45" s="7"/>
    </row>
    <row r="46" spans="1:8">
      <c r="A46" s="5">
        <v>45</v>
      </c>
      <c r="B46" s="22"/>
      <c r="C46" s="7"/>
      <c r="D46" s="7"/>
      <c r="E46" s="7"/>
      <c r="F46" s="7"/>
      <c r="G46" s="7"/>
      <c r="H46" s="7"/>
    </row>
    <row r="47" spans="1:8">
      <c r="A47" s="5">
        <v>46</v>
      </c>
      <c r="B47" s="22"/>
      <c r="C47" s="7"/>
      <c r="D47" s="7"/>
      <c r="E47" s="7"/>
      <c r="F47" s="7"/>
      <c r="G47" s="7"/>
      <c r="H47" s="7"/>
    </row>
    <row r="48" spans="1:8">
      <c r="A48" s="5">
        <v>47</v>
      </c>
      <c r="B48" s="22"/>
      <c r="C48" s="7"/>
      <c r="D48" s="7"/>
      <c r="E48" s="7"/>
      <c r="F48" s="7"/>
      <c r="G48" s="7"/>
      <c r="H48" s="7"/>
    </row>
    <row r="49" spans="1:8">
      <c r="A49" s="5">
        <v>48</v>
      </c>
      <c r="B49" s="22"/>
      <c r="C49" s="7"/>
      <c r="D49" s="7"/>
      <c r="E49" s="7"/>
      <c r="F49" s="7"/>
      <c r="G49" s="7"/>
      <c r="H49" s="7"/>
    </row>
    <row r="50" spans="1:8">
      <c r="A50" s="5">
        <v>49</v>
      </c>
      <c r="B50" s="22"/>
      <c r="C50" s="7"/>
      <c r="D50" s="7"/>
      <c r="E50" s="7"/>
      <c r="F50" s="7"/>
      <c r="G50" s="7"/>
      <c r="H50" s="7"/>
    </row>
    <row r="51" spans="1:8">
      <c r="A51" s="5">
        <v>50</v>
      </c>
      <c r="B51" s="22"/>
      <c r="C51" s="7"/>
      <c r="D51" s="7"/>
      <c r="E51" s="7"/>
      <c r="F51" s="7"/>
      <c r="G51" s="7"/>
      <c r="H51" s="7"/>
    </row>
    <row r="52" spans="1:8">
      <c r="A52" s="5">
        <v>51</v>
      </c>
      <c r="B52" s="22"/>
      <c r="C52" s="7"/>
      <c r="D52" s="7"/>
      <c r="E52" s="7"/>
      <c r="F52" s="7"/>
      <c r="G52" s="7"/>
      <c r="H52" s="7"/>
    </row>
    <row r="53" spans="1:8">
      <c r="A53" s="5">
        <v>52</v>
      </c>
      <c r="B53" s="22"/>
      <c r="C53" s="7"/>
      <c r="D53" s="7"/>
      <c r="E53" s="7"/>
      <c r="F53" s="7"/>
      <c r="G53" s="7"/>
      <c r="H53" s="7"/>
    </row>
    <row r="54" spans="1:8">
      <c r="A54" s="5">
        <v>53</v>
      </c>
      <c r="B54" s="22"/>
      <c r="C54" s="7"/>
      <c r="D54" s="7"/>
      <c r="E54" s="7"/>
      <c r="F54" s="7"/>
      <c r="G54" s="7"/>
      <c r="H54" s="7"/>
    </row>
    <row r="55" spans="1:8">
      <c r="A55" s="5">
        <v>54</v>
      </c>
      <c r="B55" s="22"/>
      <c r="C55" s="7"/>
      <c r="D55" s="7"/>
      <c r="E55" s="7"/>
      <c r="F55" s="7"/>
      <c r="G55" s="7"/>
      <c r="H55" s="7"/>
    </row>
    <row r="56" spans="1:8">
      <c r="A56" s="5">
        <v>55</v>
      </c>
      <c r="B56" s="22"/>
      <c r="C56" s="7"/>
      <c r="D56" s="7"/>
      <c r="E56" s="7"/>
      <c r="F56" s="7"/>
      <c r="G56" s="7"/>
      <c r="H56" s="7"/>
    </row>
    <row r="57" spans="1:8">
      <c r="A57" s="5">
        <v>56</v>
      </c>
      <c r="B57" s="22"/>
      <c r="C57" s="7"/>
      <c r="D57" s="7"/>
      <c r="E57" s="7"/>
      <c r="F57" s="7"/>
      <c r="G57" s="7"/>
      <c r="H57" s="7"/>
    </row>
    <row r="58" spans="1:8">
      <c r="A58" s="5">
        <v>57</v>
      </c>
      <c r="B58" s="22"/>
      <c r="C58" s="7"/>
      <c r="D58" s="7"/>
      <c r="E58" s="7"/>
      <c r="F58" s="7"/>
      <c r="G58" s="7"/>
      <c r="H58" s="7"/>
    </row>
    <row r="59" spans="1:8">
      <c r="A59" s="5">
        <v>58</v>
      </c>
      <c r="B59" s="22"/>
      <c r="C59" s="7"/>
      <c r="D59" s="7"/>
      <c r="E59" s="7"/>
      <c r="F59" s="7"/>
      <c r="G59" s="7"/>
      <c r="H59" s="7"/>
    </row>
    <row r="60" spans="1:8">
      <c r="A60" s="5">
        <v>59</v>
      </c>
      <c r="B60" s="22"/>
      <c r="C60" s="7"/>
      <c r="D60" s="7"/>
      <c r="E60" s="7"/>
      <c r="F60" s="7"/>
      <c r="G60" s="7"/>
      <c r="H60" s="7"/>
    </row>
    <row r="61" spans="1:8">
      <c r="A61" s="5">
        <v>60</v>
      </c>
      <c r="B61" s="22"/>
      <c r="C61" s="7"/>
      <c r="D61" s="7"/>
      <c r="E61" s="7"/>
      <c r="F61" s="7"/>
      <c r="G61" s="7"/>
      <c r="H61" s="7"/>
    </row>
    <row r="62" spans="1:8">
      <c r="A62" s="5">
        <v>61</v>
      </c>
      <c r="B62" s="22"/>
      <c r="C62" s="7"/>
      <c r="D62" s="7"/>
      <c r="E62" s="7"/>
      <c r="F62" s="7"/>
      <c r="G62" s="7"/>
      <c r="H62" s="7"/>
    </row>
    <row r="63" spans="1:8">
      <c r="A63" s="5">
        <v>62</v>
      </c>
      <c r="B63" s="22"/>
      <c r="C63" s="7"/>
      <c r="D63" s="7"/>
      <c r="E63" s="7"/>
      <c r="F63" s="7"/>
      <c r="G63" s="7"/>
      <c r="H63" s="7"/>
    </row>
    <row r="64" spans="1:8">
      <c r="A64" s="5">
        <v>63</v>
      </c>
      <c r="B64" s="22"/>
      <c r="C64" s="7"/>
      <c r="D64" s="7"/>
      <c r="E64" s="7"/>
      <c r="F64" s="7"/>
      <c r="G64" s="7"/>
      <c r="H64" s="7"/>
    </row>
    <row r="65" spans="1:8">
      <c r="A65" s="5">
        <v>64</v>
      </c>
      <c r="B65" s="22"/>
      <c r="C65" s="7"/>
      <c r="D65" s="7"/>
      <c r="E65" s="7"/>
      <c r="F65" s="7"/>
      <c r="G65" s="7"/>
      <c r="H65" s="7"/>
    </row>
    <row r="66" spans="1:8">
      <c r="A66" s="5">
        <v>65</v>
      </c>
      <c r="B66" s="22"/>
      <c r="C66" s="7"/>
      <c r="D66" s="7"/>
      <c r="E66" s="7"/>
      <c r="F66" s="7"/>
      <c r="G66" s="7"/>
      <c r="H66" s="7"/>
    </row>
    <row r="67" spans="1:8">
      <c r="A67" s="5">
        <v>66</v>
      </c>
      <c r="B67" s="22"/>
      <c r="C67" s="7"/>
      <c r="D67" s="7"/>
      <c r="E67" s="7"/>
      <c r="F67" s="7"/>
      <c r="G67" s="7"/>
      <c r="H67" s="7"/>
    </row>
    <row r="68" spans="1:8">
      <c r="A68" s="5">
        <v>67</v>
      </c>
      <c r="B68" s="22"/>
      <c r="C68" s="7"/>
      <c r="D68" s="7"/>
      <c r="E68" s="7"/>
      <c r="F68" s="7"/>
      <c r="G68" s="7"/>
      <c r="H68" s="7"/>
    </row>
    <row r="69" spans="1:8">
      <c r="A69" s="5">
        <v>68</v>
      </c>
      <c r="B69" s="22"/>
      <c r="C69" s="7"/>
      <c r="D69" s="7"/>
      <c r="E69" s="7"/>
      <c r="F69" s="7"/>
      <c r="G69" s="7"/>
      <c r="H69" s="7"/>
    </row>
    <row r="70" spans="1:8">
      <c r="A70" s="5">
        <v>69</v>
      </c>
      <c r="B70" s="22"/>
      <c r="C70" s="7"/>
      <c r="D70" s="7"/>
      <c r="E70" s="7"/>
      <c r="F70" s="7"/>
      <c r="G70" s="7"/>
      <c r="H70" s="7"/>
    </row>
    <row r="71" spans="1:8">
      <c r="A71" s="5">
        <v>70</v>
      </c>
      <c r="B71" s="22"/>
      <c r="C71" s="7"/>
      <c r="D71" s="7"/>
      <c r="E71" s="7"/>
      <c r="F71" s="7"/>
      <c r="G71" s="7"/>
      <c r="H71" s="7"/>
    </row>
    <row r="72" spans="1:8">
      <c r="A72" s="5">
        <v>71</v>
      </c>
      <c r="B72" s="22"/>
      <c r="C72" s="7"/>
      <c r="D72" s="7"/>
      <c r="E72" s="7"/>
      <c r="F72" s="7"/>
      <c r="G72" s="7"/>
      <c r="H72" s="7"/>
    </row>
    <row r="73" spans="1:8">
      <c r="A73" s="5">
        <v>72</v>
      </c>
      <c r="B73" s="22"/>
      <c r="C73" s="7"/>
      <c r="D73" s="7"/>
      <c r="E73" s="7"/>
      <c r="F73" s="7"/>
      <c r="G73" s="7"/>
      <c r="H73" s="7"/>
    </row>
    <row r="74" spans="1:8">
      <c r="A74" s="5">
        <v>73</v>
      </c>
      <c r="B74" s="22"/>
      <c r="C74" s="7"/>
      <c r="D74" s="7"/>
      <c r="E74" s="7"/>
      <c r="F74" s="7"/>
      <c r="G74" s="7"/>
      <c r="H74" s="7"/>
    </row>
    <row r="75" spans="1:8">
      <c r="A75" s="5">
        <v>74</v>
      </c>
      <c r="B75" s="22"/>
      <c r="C75" s="7"/>
      <c r="D75" s="7"/>
      <c r="E75" s="7"/>
      <c r="F75" s="7"/>
      <c r="G75" s="7"/>
      <c r="H75" s="7"/>
    </row>
    <row r="76" spans="1:8">
      <c r="A76" s="5">
        <v>75</v>
      </c>
      <c r="B76" s="22"/>
      <c r="C76" s="7"/>
      <c r="D76" s="7"/>
      <c r="E76" s="7"/>
      <c r="F76" s="7"/>
      <c r="G76" s="7"/>
      <c r="H76" s="7"/>
    </row>
    <row r="77" spans="1:8">
      <c r="A77" s="5">
        <v>76</v>
      </c>
      <c r="B77" s="22"/>
      <c r="C77" s="7"/>
      <c r="D77" s="7"/>
      <c r="E77" s="7"/>
      <c r="F77" s="7"/>
      <c r="G77" s="7"/>
      <c r="H77" s="7"/>
    </row>
    <row r="78" spans="1:8">
      <c r="A78" s="5">
        <v>77</v>
      </c>
      <c r="B78" s="22"/>
      <c r="C78" s="7"/>
      <c r="D78" s="7"/>
      <c r="E78" s="7"/>
      <c r="F78" s="7"/>
      <c r="G78" s="7"/>
      <c r="H78" s="7"/>
    </row>
    <row r="79" spans="1:8">
      <c r="A79" s="5">
        <v>78</v>
      </c>
      <c r="B79" s="22"/>
      <c r="C79" s="7"/>
      <c r="D79" s="7"/>
      <c r="E79" s="7"/>
      <c r="F79" s="7"/>
      <c r="G79" s="7"/>
      <c r="H79" s="7"/>
    </row>
    <row r="80" spans="1:8">
      <c r="A80" s="5">
        <v>79</v>
      </c>
      <c r="B80" s="22"/>
      <c r="C80" s="7"/>
      <c r="D80" s="7"/>
      <c r="E80" s="7"/>
      <c r="F80" s="7"/>
      <c r="G80" s="7"/>
      <c r="H80" s="7"/>
    </row>
    <row r="81" spans="1:8">
      <c r="A81" s="5">
        <v>80</v>
      </c>
      <c r="B81" s="22"/>
      <c r="C81" s="7"/>
      <c r="D81" s="7"/>
      <c r="E81" s="7"/>
      <c r="F81" s="7"/>
      <c r="G81" s="7"/>
      <c r="H81" s="7"/>
    </row>
    <row r="82" spans="1:8">
      <c r="A82" s="5">
        <v>81</v>
      </c>
      <c r="B82" s="22"/>
      <c r="C82" s="7"/>
      <c r="D82" s="7"/>
      <c r="E82" s="7"/>
      <c r="F82" s="7"/>
      <c r="G82" s="7"/>
      <c r="H82" s="7"/>
    </row>
    <row r="83" spans="1:8">
      <c r="A83" s="5">
        <v>82</v>
      </c>
      <c r="B83" s="22"/>
      <c r="C83" s="7"/>
      <c r="D83" s="7"/>
      <c r="E83" s="7"/>
      <c r="F83" s="7"/>
      <c r="G83" s="7"/>
      <c r="H83" s="7"/>
    </row>
    <row r="84" spans="1:8">
      <c r="A84" s="5">
        <v>83</v>
      </c>
      <c r="B84" s="22"/>
      <c r="C84" s="7"/>
      <c r="D84" s="7"/>
      <c r="E84" s="7"/>
      <c r="F84" s="7"/>
      <c r="G84" s="7"/>
      <c r="H84" s="7"/>
    </row>
    <row r="85" spans="1:8">
      <c r="A85" s="5">
        <v>84</v>
      </c>
      <c r="B85" s="22"/>
      <c r="C85" s="7"/>
      <c r="D85" s="7"/>
      <c r="E85" s="7"/>
      <c r="F85" s="7"/>
      <c r="G85" s="7"/>
      <c r="H85" s="7"/>
    </row>
    <row r="86" spans="1:8">
      <c r="A86" s="5">
        <v>85</v>
      </c>
      <c r="B86" s="22"/>
      <c r="C86" s="7"/>
      <c r="D86" s="7"/>
      <c r="E86" s="7"/>
      <c r="F86" s="7"/>
      <c r="G86" s="7"/>
      <c r="H86" s="7"/>
    </row>
    <row r="87" spans="1:8">
      <c r="A87" s="5">
        <v>86</v>
      </c>
      <c r="B87" s="22"/>
      <c r="C87" s="7"/>
      <c r="D87" s="7"/>
      <c r="E87" s="7"/>
      <c r="F87" s="7"/>
      <c r="G87" s="7"/>
      <c r="H87" s="7"/>
    </row>
    <row r="88" spans="1:8">
      <c r="A88" s="5">
        <v>87</v>
      </c>
      <c r="B88" s="22"/>
      <c r="C88" s="7"/>
      <c r="D88" s="7"/>
      <c r="E88" s="7"/>
      <c r="F88" s="7"/>
      <c r="G88" s="7"/>
      <c r="H88" s="7"/>
    </row>
    <row r="89" spans="1:8">
      <c r="A89" s="5">
        <v>88</v>
      </c>
      <c r="B89" s="22"/>
      <c r="C89" s="7"/>
      <c r="D89" s="7"/>
      <c r="E89" s="7"/>
      <c r="F89" s="7"/>
      <c r="G89" s="7"/>
      <c r="H89" s="7"/>
    </row>
    <row r="90" spans="1:8">
      <c r="A90" s="5">
        <v>89</v>
      </c>
      <c r="B90" s="22"/>
      <c r="C90" s="7"/>
      <c r="D90" s="7"/>
      <c r="E90" s="7"/>
      <c r="F90" s="7"/>
      <c r="G90" s="7"/>
      <c r="H90" s="7"/>
    </row>
    <row r="91" spans="1:8">
      <c r="A91" s="5">
        <v>90</v>
      </c>
      <c r="B91" s="22"/>
      <c r="C91" s="7"/>
      <c r="D91" s="7"/>
      <c r="E91" s="7"/>
      <c r="F91" s="7"/>
      <c r="G91" s="7"/>
      <c r="H91" s="7"/>
    </row>
    <row r="92" spans="1:8">
      <c r="A92" s="5">
        <v>91</v>
      </c>
      <c r="B92" s="22"/>
      <c r="C92" s="7"/>
      <c r="D92" s="7"/>
      <c r="E92" s="7"/>
      <c r="F92" s="7"/>
      <c r="G92" s="7"/>
      <c r="H92" s="7"/>
    </row>
    <row r="93" spans="1:8">
      <c r="A93" s="5">
        <v>92</v>
      </c>
      <c r="B93" s="22"/>
      <c r="C93" s="7"/>
      <c r="D93" s="7"/>
      <c r="E93" s="7"/>
      <c r="F93" s="7"/>
      <c r="G93" s="7"/>
      <c r="H93" s="7"/>
    </row>
    <row r="94" spans="1:8">
      <c r="A94" s="5">
        <v>93</v>
      </c>
      <c r="B94" s="22"/>
      <c r="C94" s="7"/>
      <c r="D94" s="7"/>
      <c r="E94" s="7"/>
      <c r="F94" s="7"/>
      <c r="G94" s="7"/>
      <c r="H94" s="7"/>
    </row>
    <row r="95" spans="1:8">
      <c r="A95" s="5">
        <v>94</v>
      </c>
      <c r="B95" s="22"/>
      <c r="C95" s="7"/>
      <c r="D95" s="7"/>
      <c r="E95" s="7"/>
      <c r="F95" s="7"/>
      <c r="G95" s="7"/>
      <c r="H95" s="7"/>
    </row>
    <row r="96" spans="1:8">
      <c r="A96" s="5">
        <v>95</v>
      </c>
      <c r="B96" s="22"/>
      <c r="C96" s="7"/>
      <c r="D96" s="7"/>
      <c r="E96" s="7"/>
      <c r="F96" s="7"/>
      <c r="G96" s="7"/>
      <c r="H96" s="7"/>
    </row>
    <row r="97" spans="1:8">
      <c r="A97" s="5">
        <v>96</v>
      </c>
      <c r="B97" s="22"/>
      <c r="C97" s="7"/>
      <c r="D97" s="7"/>
      <c r="E97" s="7"/>
      <c r="F97" s="7"/>
      <c r="G97" s="7"/>
      <c r="H97" s="7"/>
    </row>
    <row r="98" spans="1:8">
      <c r="A98" s="5">
        <v>97</v>
      </c>
      <c r="B98" s="22"/>
      <c r="C98" s="7"/>
      <c r="D98" s="7"/>
      <c r="E98" s="7"/>
      <c r="F98" s="7"/>
      <c r="G98" s="7"/>
      <c r="H98" s="7"/>
    </row>
    <row r="99" spans="1:8">
      <c r="A99" s="5">
        <v>98</v>
      </c>
      <c r="B99" s="22"/>
      <c r="C99" s="7"/>
      <c r="D99" s="7"/>
      <c r="E99" s="7"/>
      <c r="F99" s="7"/>
      <c r="G99" s="7"/>
      <c r="H99" s="7"/>
    </row>
    <row r="100" spans="1:8">
      <c r="A100" s="5">
        <v>99</v>
      </c>
      <c r="B100" s="22"/>
      <c r="C100" s="7"/>
      <c r="D100" s="7"/>
      <c r="E100" s="7"/>
      <c r="F100" s="7"/>
      <c r="G100" s="7"/>
      <c r="H100" s="7"/>
    </row>
    <row r="101" spans="1:8">
      <c r="A101" s="5">
        <v>100</v>
      </c>
      <c r="B101" s="22"/>
      <c r="C101" s="7"/>
      <c r="D101" s="7"/>
      <c r="E101" s="7"/>
      <c r="F101" s="7"/>
      <c r="G101" s="7"/>
      <c r="H101" s="7"/>
    </row>
    <row r="102" spans="1:8">
      <c r="A102" s="5">
        <v>101</v>
      </c>
      <c r="B102" s="22"/>
      <c r="C102" s="7"/>
      <c r="D102" s="7"/>
      <c r="E102" s="7"/>
      <c r="F102" s="7"/>
      <c r="G102" s="7"/>
      <c r="H102" s="7"/>
    </row>
    <row r="103" spans="1:8">
      <c r="A103" s="5">
        <v>102</v>
      </c>
      <c r="B103" s="22"/>
      <c r="C103" s="7"/>
      <c r="D103" s="7"/>
      <c r="E103" s="7"/>
      <c r="F103" s="7"/>
      <c r="G103" s="7"/>
      <c r="H103" s="7"/>
    </row>
    <row r="104" spans="1:8">
      <c r="A104" s="5">
        <v>103</v>
      </c>
      <c r="B104" s="22"/>
      <c r="C104" s="7"/>
      <c r="D104" s="7"/>
      <c r="E104" s="7"/>
      <c r="F104" s="7"/>
      <c r="G104" s="7"/>
      <c r="H104" s="7"/>
    </row>
    <row r="105" spans="1:8">
      <c r="A105" s="5">
        <v>104</v>
      </c>
      <c r="B105" s="22"/>
      <c r="C105" s="7"/>
      <c r="D105" s="7"/>
      <c r="E105" s="7"/>
      <c r="F105" s="7"/>
      <c r="G105" s="7"/>
      <c r="H105" s="7"/>
    </row>
    <row r="106" spans="1:8">
      <c r="A106" s="5">
        <v>105</v>
      </c>
      <c r="B106" s="22"/>
      <c r="C106" s="7"/>
      <c r="D106" s="7"/>
      <c r="E106" s="7"/>
      <c r="F106" s="7"/>
      <c r="G106" s="7"/>
      <c r="H106" s="7"/>
    </row>
    <row r="107" spans="1:8">
      <c r="A107" s="5">
        <v>106</v>
      </c>
      <c r="B107" s="22"/>
      <c r="C107" s="7"/>
      <c r="D107" s="7"/>
      <c r="E107" s="7"/>
      <c r="F107" s="7"/>
      <c r="G107" s="7"/>
      <c r="H107" s="7"/>
    </row>
    <row r="108" spans="1:8">
      <c r="A108" s="5">
        <v>107</v>
      </c>
      <c r="B108" s="22"/>
      <c r="C108" s="7"/>
      <c r="D108" s="7"/>
      <c r="E108" s="7"/>
      <c r="F108" s="7"/>
      <c r="G108" s="7"/>
      <c r="H108" s="7"/>
    </row>
    <row r="109" spans="1:8">
      <c r="A109" s="5">
        <v>108</v>
      </c>
      <c r="B109" s="22"/>
      <c r="C109" s="7"/>
      <c r="D109" s="7"/>
      <c r="E109" s="7"/>
      <c r="F109" s="7"/>
      <c r="G109" s="7"/>
      <c r="H109" s="7"/>
    </row>
    <row r="110" spans="1:8">
      <c r="A110" s="5">
        <v>109</v>
      </c>
      <c r="B110" s="22"/>
      <c r="C110" s="7"/>
      <c r="D110" s="7"/>
      <c r="E110" s="7"/>
      <c r="F110" s="7"/>
      <c r="G110" s="7"/>
      <c r="H110" s="7"/>
    </row>
    <row r="111" spans="1:8">
      <c r="A111" s="5">
        <v>110</v>
      </c>
      <c r="B111" s="22"/>
      <c r="C111" s="7"/>
      <c r="D111" s="7"/>
      <c r="E111" s="7"/>
      <c r="F111" s="7"/>
      <c r="G111" s="7"/>
      <c r="H111" s="7"/>
    </row>
    <row r="112" spans="1:8">
      <c r="A112" s="5">
        <v>111</v>
      </c>
      <c r="B112" s="22"/>
      <c r="C112" s="7"/>
      <c r="D112" s="7"/>
      <c r="E112" s="7"/>
      <c r="F112" s="7"/>
      <c r="G112" s="7"/>
      <c r="H112" s="7"/>
    </row>
    <row r="113" spans="1:8">
      <c r="A113" s="5">
        <v>112</v>
      </c>
      <c r="B113" s="22"/>
      <c r="C113" s="7"/>
      <c r="D113" s="7"/>
      <c r="E113" s="7"/>
      <c r="F113" s="7"/>
      <c r="G113" s="7"/>
      <c r="H113" s="7"/>
    </row>
    <row r="114" spans="1:8">
      <c r="A114" s="5">
        <v>113</v>
      </c>
      <c r="B114" s="22"/>
      <c r="C114" s="7"/>
      <c r="D114" s="7"/>
      <c r="E114" s="7"/>
      <c r="F114" s="7"/>
      <c r="G114" s="7"/>
      <c r="H114" s="7"/>
    </row>
    <row r="115" spans="1:8">
      <c r="A115" s="5">
        <v>114</v>
      </c>
      <c r="B115" s="22"/>
      <c r="C115" s="7"/>
      <c r="D115" s="7"/>
      <c r="E115" s="7"/>
      <c r="F115" s="7"/>
      <c r="G115" s="7"/>
      <c r="H115" s="7"/>
    </row>
    <row r="116" spans="1:8">
      <c r="A116" s="5">
        <v>115</v>
      </c>
      <c r="B116" s="22"/>
      <c r="C116" s="7"/>
      <c r="D116" s="7"/>
      <c r="E116" s="7"/>
      <c r="F116" s="7"/>
      <c r="G116" s="7"/>
      <c r="H116" s="7"/>
    </row>
    <row r="117" spans="1:8">
      <c r="A117" s="5">
        <v>116</v>
      </c>
      <c r="B117" s="22"/>
      <c r="C117" s="7"/>
      <c r="D117" s="7"/>
      <c r="E117" s="7"/>
      <c r="F117" s="7"/>
      <c r="G117" s="7"/>
      <c r="H117" s="7"/>
    </row>
    <row r="118" spans="1:8">
      <c r="A118" s="5">
        <v>117</v>
      </c>
      <c r="B118" s="22"/>
      <c r="C118" s="7"/>
      <c r="D118" s="7"/>
      <c r="E118" s="7"/>
      <c r="F118" s="7"/>
      <c r="G118" s="7"/>
      <c r="H118" s="7"/>
    </row>
    <row r="119" spans="1:8">
      <c r="A119" s="5">
        <v>118</v>
      </c>
      <c r="B119" s="22"/>
      <c r="C119" s="7"/>
      <c r="D119" s="7"/>
      <c r="E119" s="7"/>
      <c r="F119" s="7"/>
      <c r="G119" s="7"/>
      <c r="H119" s="7"/>
    </row>
    <row r="120" spans="1:8">
      <c r="A120" s="5">
        <v>119</v>
      </c>
      <c r="B120" s="22"/>
      <c r="C120" s="7"/>
      <c r="D120" s="7"/>
      <c r="E120" s="7"/>
      <c r="F120" s="7"/>
      <c r="G120" s="7"/>
      <c r="H120" s="7"/>
    </row>
    <row r="121" spans="1:8">
      <c r="A121" s="5">
        <v>120</v>
      </c>
      <c r="B121" s="22"/>
      <c r="C121" s="7"/>
      <c r="D121" s="7"/>
      <c r="E121" s="7"/>
      <c r="F121" s="7"/>
      <c r="G121" s="7"/>
      <c r="H121" s="7"/>
    </row>
    <row r="122" spans="1:8">
      <c r="A122" s="5">
        <v>121</v>
      </c>
      <c r="B122" s="22"/>
      <c r="C122" s="7"/>
      <c r="D122" s="7"/>
      <c r="E122" s="7"/>
      <c r="F122" s="7"/>
      <c r="G122" s="7"/>
      <c r="H122" s="7"/>
    </row>
    <row r="123" spans="1:8">
      <c r="A123" s="5">
        <v>122</v>
      </c>
      <c r="B123" s="22"/>
      <c r="C123" s="7"/>
      <c r="D123" s="7"/>
      <c r="E123" s="7"/>
      <c r="F123" s="7"/>
      <c r="G123" s="7"/>
      <c r="H123" s="7"/>
    </row>
    <row r="124" spans="1:8">
      <c r="A124" s="5">
        <v>123</v>
      </c>
      <c r="B124" s="22"/>
      <c r="C124" s="7"/>
      <c r="D124" s="7"/>
      <c r="E124" s="7"/>
      <c r="F124" s="7"/>
      <c r="G124" s="7"/>
      <c r="H124" s="7"/>
    </row>
    <row r="125" spans="1:8">
      <c r="A125" s="5">
        <v>124</v>
      </c>
      <c r="B125" s="22"/>
      <c r="C125" s="7"/>
      <c r="D125" s="7"/>
      <c r="E125" s="7"/>
      <c r="F125" s="7"/>
      <c r="G125" s="7"/>
      <c r="H125" s="7"/>
    </row>
    <row r="126" spans="1:8">
      <c r="A126" s="5">
        <v>125</v>
      </c>
      <c r="B126" s="22"/>
      <c r="C126" s="7"/>
      <c r="D126" s="7"/>
      <c r="E126" s="7"/>
      <c r="F126" s="7"/>
      <c r="G126" s="7"/>
      <c r="H126" s="7"/>
    </row>
    <row r="127" spans="1:8">
      <c r="A127" s="5">
        <v>126</v>
      </c>
      <c r="B127" s="22"/>
      <c r="C127" s="7"/>
      <c r="D127" s="7"/>
      <c r="E127" s="7"/>
      <c r="F127" s="7"/>
      <c r="G127" s="7"/>
      <c r="H127" s="7"/>
    </row>
    <row r="128" spans="1:8">
      <c r="A128" s="5">
        <v>127</v>
      </c>
      <c r="B128" s="22"/>
      <c r="C128" s="7"/>
      <c r="D128" s="7"/>
      <c r="E128" s="7"/>
      <c r="F128" s="7"/>
      <c r="G128" s="7"/>
      <c r="H128" s="7"/>
    </row>
    <row r="129" spans="1:8">
      <c r="A129" s="5">
        <v>128</v>
      </c>
      <c r="B129" s="22"/>
      <c r="C129" s="7"/>
      <c r="D129" s="7"/>
      <c r="E129" s="7"/>
      <c r="F129" s="7"/>
      <c r="G129" s="7"/>
      <c r="H129" s="7"/>
    </row>
    <row r="130" spans="1:8">
      <c r="A130" s="5">
        <v>129</v>
      </c>
      <c r="B130" s="22"/>
      <c r="C130" s="7"/>
      <c r="D130" s="7"/>
      <c r="E130" s="7"/>
      <c r="F130" s="7"/>
      <c r="G130" s="7"/>
      <c r="H130" s="7"/>
    </row>
    <row r="131" spans="1:8">
      <c r="A131" s="5">
        <v>130</v>
      </c>
      <c r="B131" s="22"/>
      <c r="C131" s="7"/>
      <c r="D131" s="7"/>
      <c r="E131" s="7"/>
      <c r="F131" s="7"/>
      <c r="G131" s="7"/>
      <c r="H131" s="7"/>
    </row>
    <row r="132" spans="1:8">
      <c r="A132" s="5">
        <v>131</v>
      </c>
      <c r="B132" s="22"/>
      <c r="C132" s="7"/>
      <c r="D132" s="7"/>
      <c r="E132" s="7"/>
      <c r="F132" s="7"/>
      <c r="G132" s="7"/>
      <c r="H132" s="7"/>
    </row>
    <row r="133" spans="1:8">
      <c r="A133" s="5">
        <v>132</v>
      </c>
      <c r="B133" s="22"/>
      <c r="C133" s="7"/>
      <c r="D133" s="7"/>
      <c r="E133" s="7"/>
      <c r="F133" s="7"/>
      <c r="G133" s="7"/>
      <c r="H133" s="7"/>
    </row>
    <row r="134" spans="1:8">
      <c r="A134" s="5">
        <v>133</v>
      </c>
      <c r="B134" s="22"/>
      <c r="C134" s="7"/>
      <c r="D134" s="7"/>
      <c r="E134" s="7"/>
      <c r="F134" s="7"/>
      <c r="G134" s="7"/>
      <c r="H134" s="7"/>
    </row>
    <row r="135" spans="1:8">
      <c r="A135" s="5">
        <v>134</v>
      </c>
      <c r="B135" s="22"/>
      <c r="C135" s="7"/>
      <c r="D135" s="7"/>
      <c r="E135" s="7"/>
      <c r="F135" s="7"/>
      <c r="G135" s="7"/>
      <c r="H135" s="7"/>
    </row>
    <row r="136" spans="1:8">
      <c r="A136" s="5">
        <v>135</v>
      </c>
      <c r="B136" s="22"/>
      <c r="C136" s="7"/>
      <c r="D136" s="7"/>
      <c r="E136" s="7"/>
      <c r="F136" s="7"/>
      <c r="G136" s="7"/>
      <c r="H136" s="7"/>
    </row>
    <row r="137" spans="1:8">
      <c r="A137" s="5">
        <v>136</v>
      </c>
      <c r="B137" s="22"/>
      <c r="C137" s="7"/>
      <c r="D137" s="7"/>
      <c r="E137" s="7"/>
      <c r="F137" s="7"/>
      <c r="G137" s="7"/>
      <c r="H137" s="7"/>
    </row>
    <row r="138" spans="1:8">
      <c r="A138" s="5">
        <v>137</v>
      </c>
      <c r="B138" s="22"/>
      <c r="C138" s="7"/>
      <c r="D138" s="7"/>
      <c r="E138" s="7"/>
      <c r="F138" s="7"/>
      <c r="G138" s="7"/>
      <c r="H138" s="7"/>
    </row>
    <row r="139" spans="1:8">
      <c r="A139" s="5">
        <v>138</v>
      </c>
      <c r="B139" s="22"/>
      <c r="C139" s="7"/>
      <c r="D139" s="7"/>
      <c r="E139" s="7"/>
      <c r="F139" s="7"/>
      <c r="G139" s="7"/>
      <c r="H139" s="7"/>
    </row>
    <row r="140" spans="1:8">
      <c r="A140" s="5">
        <v>139</v>
      </c>
      <c r="B140" s="22"/>
      <c r="C140" s="7"/>
      <c r="D140" s="7"/>
      <c r="E140" s="7"/>
      <c r="F140" s="7"/>
      <c r="G140" s="7"/>
      <c r="H140" s="7"/>
    </row>
    <row r="141" spans="1:8">
      <c r="A141" s="5">
        <v>140</v>
      </c>
      <c r="B141" s="22"/>
      <c r="C141" s="7"/>
      <c r="D141" s="7"/>
      <c r="E141" s="7"/>
      <c r="F141" s="7"/>
      <c r="G141" s="7"/>
      <c r="H141" s="7"/>
    </row>
    <row r="142" spans="1:8">
      <c r="A142" s="5">
        <v>141</v>
      </c>
      <c r="B142" s="22"/>
      <c r="C142" s="7"/>
      <c r="D142" s="7"/>
      <c r="E142" s="7"/>
      <c r="F142" s="7"/>
      <c r="G142" s="7"/>
      <c r="H142" s="7"/>
    </row>
    <row r="143" spans="1:8">
      <c r="A143" s="5">
        <v>142</v>
      </c>
      <c r="B143" s="22"/>
      <c r="C143" s="7"/>
      <c r="D143" s="7"/>
      <c r="E143" s="7"/>
      <c r="F143" s="7"/>
      <c r="G143" s="7"/>
      <c r="H143" s="7"/>
    </row>
    <row r="144" spans="1:8">
      <c r="A144" s="5">
        <v>143</v>
      </c>
      <c r="B144" s="22"/>
      <c r="C144" s="7"/>
      <c r="D144" s="7"/>
      <c r="E144" s="7"/>
      <c r="F144" s="7"/>
      <c r="G144" s="7"/>
      <c r="H144" s="7"/>
    </row>
    <row r="145" spans="1:8">
      <c r="A145" s="5">
        <v>144</v>
      </c>
      <c r="B145" s="22"/>
      <c r="C145" s="7"/>
      <c r="D145" s="7"/>
      <c r="E145" s="7"/>
      <c r="F145" s="7"/>
      <c r="G145" s="7"/>
      <c r="H145" s="7"/>
    </row>
    <row r="146" spans="1:8">
      <c r="A146" s="5">
        <v>145</v>
      </c>
      <c r="B146" s="22"/>
      <c r="C146" s="7"/>
      <c r="D146" s="7"/>
      <c r="E146" s="7"/>
      <c r="F146" s="7"/>
      <c r="G146" s="7"/>
      <c r="H146" s="7"/>
    </row>
    <row r="147" spans="1:8">
      <c r="A147" s="5">
        <v>146</v>
      </c>
      <c r="B147" s="22"/>
      <c r="C147" s="7"/>
      <c r="D147" s="7"/>
      <c r="E147" s="7"/>
      <c r="F147" s="7"/>
      <c r="G147" s="7"/>
      <c r="H147" s="7"/>
    </row>
    <row r="148" spans="1:8">
      <c r="A148" s="5">
        <v>147</v>
      </c>
      <c r="B148" s="22"/>
      <c r="C148" s="7"/>
      <c r="D148" s="7"/>
      <c r="E148" s="7"/>
      <c r="F148" s="7"/>
      <c r="G148" s="7"/>
      <c r="H148" s="7"/>
    </row>
    <row r="149" spans="1:8">
      <c r="A149" s="5">
        <v>148</v>
      </c>
      <c r="B149" s="22"/>
      <c r="C149" s="7"/>
      <c r="D149" s="7"/>
      <c r="E149" s="7"/>
      <c r="F149" s="7"/>
      <c r="G149" s="7"/>
      <c r="H149" s="7"/>
    </row>
    <row r="150" spans="1:8">
      <c r="A150" s="5">
        <v>149</v>
      </c>
      <c r="B150" s="22"/>
      <c r="C150" s="7"/>
      <c r="D150" s="7"/>
      <c r="E150" s="7"/>
      <c r="F150" s="7"/>
      <c r="G150" s="7"/>
      <c r="H150" s="7"/>
    </row>
    <row r="151" spans="1:8">
      <c r="A151" s="5">
        <v>150</v>
      </c>
      <c r="B151" s="22"/>
      <c r="C151" s="7"/>
      <c r="D151" s="7"/>
      <c r="E151" s="7"/>
      <c r="F151" s="7"/>
      <c r="G151" s="7"/>
      <c r="H151" s="7"/>
    </row>
    <row r="152" spans="1:8">
      <c r="A152" s="5">
        <v>151</v>
      </c>
      <c r="B152" s="22"/>
      <c r="C152" s="7"/>
      <c r="D152" s="7"/>
      <c r="E152" s="7"/>
      <c r="F152" s="7"/>
      <c r="G152" s="7"/>
      <c r="H152" s="7"/>
    </row>
    <row r="153" spans="1:8">
      <c r="A153" s="5">
        <v>152</v>
      </c>
      <c r="B153" s="22"/>
      <c r="C153" s="7"/>
      <c r="D153" s="7"/>
      <c r="E153" s="7"/>
      <c r="F153" s="7"/>
      <c r="G153" s="7"/>
      <c r="H153" s="7"/>
    </row>
    <row r="154" spans="1:8">
      <c r="A154" s="5">
        <v>153</v>
      </c>
      <c r="B154" s="22"/>
      <c r="C154" s="7"/>
      <c r="D154" s="7"/>
      <c r="E154" s="7"/>
      <c r="F154" s="7"/>
      <c r="G154" s="7"/>
      <c r="H154" s="7"/>
    </row>
    <row r="155" spans="1:8">
      <c r="A155" s="5">
        <v>154</v>
      </c>
      <c r="B155" s="22"/>
      <c r="C155" s="7"/>
      <c r="D155" s="7"/>
      <c r="E155" s="7"/>
      <c r="F155" s="7"/>
      <c r="G155" s="7"/>
      <c r="H155" s="7"/>
    </row>
    <row r="156" spans="1:8">
      <c r="A156" s="5">
        <v>155</v>
      </c>
      <c r="B156" s="22"/>
      <c r="C156" s="7"/>
      <c r="D156" s="7"/>
      <c r="E156" s="7"/>
      <c r="F156" s="7"/>
      <c r="G156" s="7"/>
      <c r="H156" s="7"/>
    </row>
    <row r="157" spans="1:8">
      <c r="A157" s="5">
        <v>156</v>
      </c>
      <c r="B157" s="22"/>
      <c r="C157" s="7"/>
      <c r="D157" s="7"/>
      <c r="E157" s="7"/>
      <c r="F157" s="7"/>
      <c r="G157" s="7"/>
      <c r="H157" s="7"/>
    </row>
    <row r="158" spans="1:8">
      <c r="A158" s="5">
        <v>157</v>
      </c>
      <c r="B158" s="22"/>
      <c r="C158" s="7"/>
      <c r="D158" s="7"/>
      <c r="E158" s="7"/>
      <c r="F158" s="7"/>
      <c r="G158" s="7"/>
      <c r="H158" s="7"/>
    </row>
    <row r="159" spans="1:8">
      <c r="A159" s="5">
        <v>158</v>
      </c>
      <c r="B159" s="22"/>
      <c r="C159" s="7"/>
      <c r="D159" s="7"/>
      <c r="E159" s="7"/>
      <c r="F159" s="7"/>
      <c r="G159" s="7"/>
      <c r="H159" s="7"/>
    </row>
    <row r="160" spans="1:8">
      <c r="A160" s="5">
        <v>159</v>
      </c>
      <c r="B160" s="22"/>
      <c r="C160" s="7"/>
      <c r="D160" s="7"/>
      <c r="E160" s="7"/>
      <c r="F160" s="7"/>
      <c r="G160" s="7"/>
      <c r="H160" s="7"/>
    </row>
    <row r="161" spans="1:8">
      <c r="A161" s="5">
        <v>160</v>
      </c>
      <c r="B161" s="22"/>
      <c r="C161" s="7"/>
      <c r="D161" s="7"/>
      <c r="E161" s="7"/>
      <c r="F161" s="7"/>
      <c r="G161" s="7"/>
      <c r="H161" s="7"/>
    </row>
    <row r="162" spans="1:8">
      <c r="A162" s="5">
        <v>161</v>
      </c>
      <c r="B162" s="22"/>
      <c r="C162" s="7"/>
      <c r="D162" s="7"/>
      <c r="E162" s="7"/>
      <c r="F162" s="7"/>
      <c r="G162" s="7"/>
      <c r="H162" s="7"/>
    </row>
    <row r="163" spans="1:8">
      <c r="A163" s="5">
        <v>162</v>
      </c>
      <c r="B163" s="22"/>
      <c r="C163" s="7"/>
      <c r="D163" s="7"/>
      <c r="E163" s="7"/>
      <c r="F163" s="7"/>
      <c r="G163" s="7"/>
      <c r="H163" s="7"/>
    </row>
    <row r="164" spans="1:8">
      <c r="A164" s="5">
        <v>163</v>
      </c>
      <c r="B164" s="22"/>
      <c r="C164" s="7"/>
      <c r="D164" s="7"/>
      <c r="E164" s="7"/>
      <c r="F164" s="7"/>
      <c r="G164" s="7"/>
      <c r="H164" s="7"/>
    </row>
    <row r="165" spans="1:8">
      <c r="A165" s="5">
        <v>164</v>
      </c>
      <c r="B165" s="22"/>
      <c r="C165" s="7"/>
      <c r="D165" s="7"/>
      <c r="E165" s="7"/>
      <c r="F165" s="7"/>
      <c r="G165" s="7"/>
      <c r="H165" s="7"/>
    </row>
    <row r="166" spans="1:8">
      <c r="A166" s="5">
        <v>165</v>
      </c>
      <c r="B166" s="22"/>
      <c r="C166" s="7"/>
      <c r="D166" s="7"/>
      <c r="E166" s="7"/>
      <c r="F166" s="7"/>
      <c r="G166" s="7"/>
      <c r="H166" s="7"/>
    </row>
    <row r="167" spans="1:8">
      <c r="A167" s="5">
        <v>166</v>
      </c>
      <c r="B167" s="22"/>
      <c r="C167" s="7"/>
      <c r="D167" s="7"/>
      <c r="E167" s="7"/>
      <c r="F167" s="7"/>
      <c r="G167" s="7"/>
      <c r="H167" s="7"/>
    </row>
    <row r="168" spans="1:8">
      <c r="A168" s="5">
        <v>167</v>
      </c>
      <c r="B168" s="22"/>
      <c r="C168" s="7"/>
      <c r="D168" s="7"/>
      <c r="E168" s="7"/>
      <c r="F168" s="7"/>
      <c r="G168" s="7"/>
      <c r="H168" s="7"/>
    </row>
    <row r="169" spans="1:8">
      <c r="A169" s="5">
        <v>168</v>
      </c>
      <c r="B169" s="22"/>
      <c r="C169" s="7"/>
      <c r="D169" s="7"/>
      <c r="E169" s="7"/>
      <c r="F169" s="7"/>
      <c r="G169" s="7"/>
      <c r="H169" s="7"/>
    </row>
    <row r="170" spans="1:8">
      <c r="A170" s="5">
        <v>169</v>
      </c>
      <c r="B170" s="22"/>
      <c r="C170" s="7"/>
      <c r="D170" s="7"/>
      <c r="E170" s="7"/>
      <c r="F170" s="7"/>
      <c r="G170" s="7"/>
      <c r="H170" s="7"/>
    </row>
    <row r="171" spans="1:8">
      <c r="A171" s="5">
        <v>170</v>
      </c>
      <c r="B171" s="22"/>
      <c r="C171" s="7"/>
      <c r="D171" s="7"/>
      <c r="E171" s="7"/>
      <c r="F171" s="7"/>
      <c r="G171" s="7"/>
      <c r="H171" s="7"/>
    </row>
    <row r="172" spans="1:8">
      <c r="A172" s="5">
        <v>171</v>
      </c>
      <c r="B172" s="22"/>
      <c r="C172" s="7"/>
      <c r="D172" s="7"/>
      <c r="E172" s="7"/>
      <c r="F172" s="7"/>
      <c r="G172" s="7"/>
      <c r="H172" s="7"/>
    </row>
    <row r="173" spans="1:8">
      <c r="A173" s="5">
        <v>172</v>
      </c>
      <c r="B173" s="22"/>
      <c r="C173" s="7"/>
      <c r="D173" s="7"/>
      <c r="E173" s="7"/>
      <c r="F173" s="7"/>
      <c r="G173" s="7"/>
      <c r="H173" s="7"/>
    </row>
    <row r="174" spans="1:8">
      <c r="A174" s="5">
        <v>173</v>
      </c>
      <c r="B174" s="22"/>
      <c r="C174" s="7"/>
      <c r="D174" s="7"/>
      <c r="E174" s="7"/>
      <c r="F174" s="7"/>
      <c r="G174" s="7"/>
      <c r="H174" s="7"/>
    </row>
    <row r="175" spans="1:8">
      <c r="A175" s="5">
        <v>174</v>
      </c>
      <c r="B175" s="22"/>
      <c r="C175" s="7"/>
      <c r="D175" s="7"/>
      <c r="E175" s="7"/>
      <c r="F175" s="7"/>
      <c r="G175" s="7"/>
      <c r="H175" s="7"/>
    </row>
    <row r="176" spans="1:8">
      <c r="A176" s="5">
        <v>175</v>
      </c>
      <c r="B176" s="22"/>
      <c r="C176" s="7"/>
      <c r="D176" s="7"/>
      <c r="E176" s="7"/>
      <c r="F176" s="7"/>
      <c r="G176" s="7"/>
      <c r="H176" s="7"/>
    </row>
    <row r="177" spans="1:8">
      <c r="A177" s="5">
        <v>176</v>
      </c>
      <c r="B177" s="22"/>
      <c r="C177" s="7"/>
      <c r="D177" s="7"/>
      <c r="E177" s="7"/>
      <c r="F177" s="7"/>
      <c r="G177" s="7"/>
      <c r="H177" s="7"/>
    </row>
    <row r="178" spans="1:8">
      <c r="A178" s="5">
        <v>177</v>
      </c>
      <c r="B178" s="22"/>
      <c r="C178" s="7"/>
      <c r="D178" s="7"/>
      <c r="E178" s="7"/>
      <c r="F178" s="7"/>
      <c r="G178" s="7"/>
      <c r="H178" s="7"/>
    </row>
    <row r="179" spans="1:8">
      <c r="A179" s="5">
        <v>178</v>
      </c>
      <c r="B179" s="22"/>
      <c r="C179" s="7"/>
      <c r="D179" s="7"/>
      <c r="E179" s="7"/>
      <c r="F179" s="7"/>
      <c r="G179" s="7"/>
      <c r="H179" s="7"/>
    </row>
    <row r="180" spans="1:8">
      <c r="A180" s="5">
        <v>179</v>
      </c>
      <c r="B180" s="22"/>
      <c r="C180" s="7"/>
      <c r="D180" s="7"/>
      <c r="E180" s="7"/>
      <c r="F180" s="7"/>
      <c r="G180" s="7"/>
      <c r="H180" s="7"/>
    </row>
    <row r="181" spans="1:8">
      <c r="A181" s="5">
        <v>180</v>
      </c>
      <c r="B181" s="22"/>
      <c r="C181" s="7"/>
      <c r="D181" s="7"/>
      <c r="E181" s="7"/>
      <c r="F181" s="7"/>
      <c r="G181" s="7"/>
      <c r="H181" s="7"/>
    </row>
    <row r="182" spans="1:8">
      <c r="A182" s="5">
        <v>181</v>
      </c>
      <c r="B182" s="22"/>
      <c r="C182" s="7"/>
      <c r="D182" s="7"/>
      <c r="E182" s="7"/>
      <c r="F182" s="7"/>
      <c r="G182" s="7"/>
      <c r="H182" s="7"/>
    </row>
    <row r="183" spans="1:8">
      <c r="A183" s="5">
        <v>182</v>
      </c>
      <c r="B183" s="22"/>
      <c r="C183" s="7"/>
      <c r="D183" s="7"/>
      <c r="E183" s="7"/>
      <c r="F183" s="7"/>
      <c r="G183" s="7"/>
      <c r="H183" s="7"/>
    </row>
    <row r="184" spans="1:8">
      <c r="A184" s="5">
        <v>183</v>
      </c>
      <c r="B184" s="22"/>
      <c r="C184" s="7"/>
      <c r="D184" s="7"/>
      <c r="E184" s="7"/>
      <c r="F184" s="7"/>
      <c r="G184" s="7"/>
      <c r="H184" s="7"/>
    </row>
    <row r="185" spans="1:8">
      <c r="A185" s="5">
        <v>184</v>
      </c>
      <c r="B185" s="22"/>
      <c r="C185" s="7"/>
      <c r="D185" s="7"/>
      <c r="E185" s="7"/>
      <c r="F185" s="7"/>
      <c r="G185" s="7"/>
      <c r="H185" s="7"/>
    </row>
    <row r="186" spans="1:8">
      <c r="A186" s="5">
        <v>185</v>
      </c>
      <c r="B186" s="22"/>
      <c r="C186" s="7"/>
      <c r="D186" s="7"/>
      <c r="E186" s="7"/>
      <c r="F186" s="7"/>
      <c r="G186" s="7"/>
      <c r="H186" s="7"/>
    </row>
    <row r="187" spans="1:8">
      <c r="A187" s="5">
        <v>186</v>
      </c>
      <c r="B187" s="22"/>
      <c r="C187" s="7"/>
      <c r="D187" s="7"/>
      <c r="E187" s="7"/>
      <c r="F187" s="7"/>
      <c r="G187" s="7"/>
      <c r="H187" s="7"/>
    </row>
    <row r="188" spans="1:8">
      <c r="A188" s="5">
        <v>187</v>
      </c>
      <c r="B188" s="22"/>
      <c r="C188" s="7"/>
      <c r="D188" s="7"/>
      <c r="E188" s="7"/>
      <c r="F188" s="7"/>
      <c r="G188" s="7"/>
      <c r="H188" s="7"/>
    </row>
    <row r="189" spans="1:8">
      <c r="A189" s="5">
        <v>188</v>
      </c>
      <c r="B189" s="22"/>
      <c r="C189" s="7"/>
      <c r="D189" s="7"/>
      <c r="E189" s="7"/>
      <c r="F189" s="7"/>
      <c r="G189" s="7"/>
      <c r="H189" s="7"/>
    </row>
    <row r="190" spans="1:8">
      <c r="A190" s="5">
        <v>189</v>
      </c>
      <c r="B190" s="22"/>
      <c r="C190" s="7"/>
      <c r="D190" s="7"/>
      <c r="E190" s="7"/>
      <c r="F190" s="7"/>
      <c r="G190" s="7"/>
      <c r="H190" s="7"/>
    </row>
    <row r="191" spans="1:8">
      <c r="A191" s="5">
        <v>190</v>
      </c>
      <c r="B191" s="22"/>
      <c r="C191" s="7"/>
      <c r="D191" s="7"/>
      <c r="E191" s="7"/>
      <c r="F191" s="7"/>
      <c r="G191" s="7"/>
      <c r="H191" s="7"/>
    </row>
    <row r="192" spans="1:8">
      <c r="A192" s="5">
        <v>191</v>
      </c>
      <c r="B192" s="22"/>
      <c r="C192" s="7"/>
      <c r="D192" s="7"/>
      <c r="E192" s="7"/>
      <c r="F192" s="7"/>
      <c r="G192" s="7"/>
      <c r="H192" s="7"/>
    </row>
    <row r="193" spans="1:8">
      <c r="A193" s="5">
        <v>192</v>
      </c>
      <c r="B193" s="22"/>
      <c r="C193" s="7"/>
      <c r="D193" s="7"/>
      <c r="E193" s="7"/>
      <c r="F193" s="7"/>
      <c r="G193" s="7"/>
      <c r="H193" s="7"/>
    </row>
    <row r="194" spans="1:8">
      <c r="A194" s="5">
        <v>193</v>
      </c>
      <c r="B194" s="22"/>
      <c r="C194" s="7"/>
      <c r="D194" s="7"/>
      <c r="E194" s="7"/>
      <c r="F194" s="7"/>
      <c r="G194" s="7"/>
      <c r="H194" s="7"/>
    </row>
    <row r="195" spans="1:8">
      <c r="A195" s="5">
        <v>194</v>
      </c>
      <c r="B195" s="22"/>
      <c r="C195" s="7"/>
      <c r="D195" s="7"/>
      <c r="E195" s="7"/>
      <c r="F195" s="7"/>
      <c r="G195" s="7"/>
      <c r="H195" s="7"/>
    </row>
    <row r="196" spans="1:8">
      <c r="A196" s="5">
        <v>195</v>
      </c>
      <c r="B196" s="22"/>
      <c r="C196" s="7"/>
      <c r="D196" s="7"/>
      <c r="E196" s="7"/>
      <c r="F196" s="7"/>
      <c r="G196" s="7"/>
      <c r="H196" s="7"/>
    </row>
    <row r="197" spans="1:8">
      <c r="A197" s="5">
        <v>196</v>
      </c>
      <c r="B197" s="22"/>
      <c r="C197" s="7"/>
      <c r="D197" s="7"/>
      <c r="E197" s="7"/>
      <c r="F197" s="7"/>
      <c r="G197" s="7"/>
      <c r="H197" s="7"/>
    </row>
    <row r="198" spans="1:8">
      <c r="A198" s="5">
        <v>197</v>
      </c>
      <c r="B198" s="22"/>
      <c r="C198" s="7"/>
      <c r="D198" s="7"/>
      <c r="E198" s="7"/>
      <c r="F198" s="7"/>
      <c r="G198" s="7"/>
      <c r="H198" s="7"/>
    </row>
    <row r="199" spans="1:8">
      <c r="A199" s="5">
        <v>198</v>
      </c>
      <c r="B199" s="22"/>
      <c r="C199" s="7"/>
      <c r="D199" s="7"/>
      <c r="E199" s="7"/>
      <c r="F199" s="7"/>
      <c r="G199" s="7"/>
      <c r="H199" s="7"/>
    </row>
    <row r="200" spans="1:8">
      <c r="A200" s="5">
        <v>199</v>
      </c>
      <c r="B200" s="22"/>
      <c r="C200" s="7"/>
      <c r="D200" s="7"/>
      <c r="E200" s="7"/>
      <c r="F200" s="7"/>
      <c r="G200" s="7"/>
      <c r="H200" s="7"/>
    </row>
    <row r="201" spans="1:8">
      <c r="A201" s="5">
        <v>200</v>
      </c>
      <c r="B201" s="22"/>
      <c r="C201" s="7"/>
      <c r="D201" s="7"/>
      <c r="E201" s="7"/>
      <c r="F201" s="7"/>
      <c r="G201" s="7"/>
      <c r="H201" s="7"/>
    </row>
  </sheetData>
  <hyperlinks>
    <hyperlink ref="G13" r:id="rId1" xr:uid="{57E34287-7D30-424D-BA90-9A8A65993404}"/>
    <hyperlink ref="F13" r:id="rId2" xr:uid="{FEC72AC5-3D3E-476A-B955-1DC11CBEB939}"/>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01"/>
  <sheetViews>
    <sheetView showGridLines="0" workbookViewId="0">
      <selection activeCell="C3" sqref="C3"/>
    </sheetView>
  </sheetViews>
  <sheetFormatPr defaultRowHeight="15"/>
  <cols>
    <col min="1" max="1" width="5" style="24" customWidth="1"/>
    <col min="2" max="2" width="22" style="24" customWidth="1"/>
    <col min="3" max="3" width="25.140625" style="24" customWidth="1"/>
    <col min="4" max="4" width="28" style="24" customWidth="1"/>
    <col min="5" max="5" width="25" style="24" customWidth="1"/>
    <col min="6" max="6" width="32.140625" style="24" customWidth="1"/>
    <col min="7" max="7" width="20" style="24" customWidth="1"/>
    <col min="8" max="16384" width="9.140625" style="24"/>
  </cols>
  <sheetData>
    <row r="1" spans="1:7">
      <c r="A1" s="3" t="s">
        <v>35</v>
      </c>
      <c r="B1" s="3" t="s">
        <v>223</v>
      </c>
      <c r="C1" s="3" t="s">
        <v>224</v>
      </c>
      <c r="D1" s="3" t="s">
        <v>225</v>
      </c>
      <c r="E1" s="3" t="s">
        <v>226</v>
      </c>
      <c r="F1" s="3" t="s">
        <v>227</v>
      </c>
      <c r="G1" s="3" t="s">
        <v>159</v>
      </c>
    </row>
    <row r="2" spans="1:7" ht="57.75">
      <c r="A2" s="5">
        <v>1</v>
      </c>
      <c r="B2" s="23" t="s">
        <v>228</v>
      </c>
      <c r="C2" s="23" t="s">
        <v>229</v>
      </c>
      <c r="D2" s="23" t="s">
        <v>230</v>
      </c>
      <c r="E2" s="23" t="s">
        <v>231</v>
      </c>
      <c r="F2" s="23" t="s">
        <v>232</v>
      </c>
      <c r="G2" s="23" t="s">
        <v>233</v>
      </c>
    </row>
    <row r="3" spans="1:7" ht="57.75">
      <c r="A3" s="5">
        <v>2</v>
      </c>
      <c r="B3" s="23" t="s">
        <v>234</v>
      </c>
      <c r="C3" s="23" t="s">
        <v>235</v>
      </c>
      <c r="D3" s="23" t="s">
        <v>236</v>
      </c>
      <c r="E3" s="23" t="s">
        <v>237</v>
      </c>
      <c r="F3" s="23" t="s">
        <v>238</v>
      </c>
      <c r="G3" s="23" t="s">
        <v>239</v>
      </c>
    </row>
    <row r="4" spans="1:7" ht="72.75">
      <c r="A4" s="5">
        <v>3</v>
      </c>
      <c r="B4" s="23" t="s">
        <v>240</v>
      </c>
      <c r="C4" s="23" t="s">
        <v>241</v>
      </c>
      <c r="D4" s="23" t="s">
        <v>242</v>
      </c>
      <c r="E4" s="23" t="s">
        <v>243</v>
      </c>
      <c r="F4" s="23" t="s">
        <v>244</v>
      </c>
      <c r="G4" s="23" t="s">
        <v>245</v>
      </c>
    </row>
    <row r="5" spans="1:7" ht="57.75">
      <c r="A5" s="5">
        <v>4</v>
      </c>
      <c r="B5" s="23" t="s">
        <v>246</v>
      </c>
      <c r="C5" s="23" t="s">
        <v>247</v>
      </c>
      <c r="D5" s="23" t="s">
        <v>248</v>
      </c>
      <c r="E5" s="23" t="s">
        <v>249</v>
      </c>
      <c r="F5" s="23" t="s">
        <v>250</v>
      </c>
      <c r="G5" s="23" t="s">
        <v>251</v>
      </c>
    </row>
    <row r="6" spans="1:7" ht="57.75">
      <c r="A6" s="5">
        <v>5</v>
      </c>
      <c r="B6" s="23" t="s">
        <v>252</v>
      </c>
      <c r="C6" s="23" t="s">
        <v>253</v>
      </c>
      <c r="D6" s="23" t="s">
        <v>254</v>
      </c>
      <c r="E6" s="23" t="s">
        <v>255</v>
      </c>
      <c r="F6" s="23" t="s">
        <v>256</v>
      </c>
      <c r="G6" s="23" t="s">
        <v>257</v>
      </c>
    </row>
    <row r="7" spans="1:7" ht="57.75">
      <c r="A7" s="5">
        <v>6</v>
      </c>
      <c r="B7" s="23" t="s">
        <v>258</v>
      </c>
      <c r="C7" s="23" t="s">
        <v>259</v>
      </c>
      <c r="D7" s="23" t="s">
        <v>260</v>
      </c>
      <c r="E7" s="23" t="s">
        <v>261</v>
      </c>
      <c r="F7" s="23" t="s">
        <v>262</v>
      </c>
      <c r="G7" s="23" t="s">
        <v>263</v>
      </c>
    </row>
    <row r="8" spans="1:7">
      <c r="A8" s="5">
        <v>7</v>
      </c>
      <c r="B8" s="7"/>
      <c r="C8" s="7"/>
      <c r="D8" s="7"/>
      <c r="E8" s="7"/>
      <c r="F8" s="7"/>
      <c r="G8" s="7"/>
    </row>
    <row r="9" spans="1:7">
      <c r="A9" s="5">
        <v>8</v>
      </c>
      <c r="B9" s="7"/>
      <c r="C9" s="7"/>
      <c r="D9" s="7"/>
      <c r="E9" s="7"/>
      <c r="F9" s="7"/>
      <c r="G9" s="7"/>
    </row>
    <row r="10" spans="1:7">
      <c r="A10" s="5">
        <v>9</v>
      </c>
      <c r="B10" s="7"/>
      <c r="C10" s="7"/>
      <c r="D10" s="7"/>
      <c r="E10" s="7"/>
      <c r="F10" s="7"/>
      <c r="G10" s="7"/>
    </row>
    <row r="11" spans="1:7">
      <c r="A11" s="5">
        <v>10</v>
      </c>
      <c r="B11" s="7"/>
      <c r="C11" s="7"/>
      <c r="D11" s="7"/>
      <c r="E11" s="7"/>
      <c r="F11" s="7"/>
      <c r="G11" s="7"/>
    </row>
    <row r="12" spans="1:7">
      <c r="A12" s="5">
        <v>11</v>
      </c>
      <c r="B12" s="7"/>
      <c r="C12" s="7"/>
      <c r="D12" s="7"/>
      <c r="E12" s="7"/>
      <c r="F12" s="7"/>
      <c r="G12" s="7"/>
    </row>
    <row r="13" spans="1:7">
      <c r="A13" s="5">
        <v>12</v>
      </c>
      <c r="B13" s="7"/>
      <c r="C13" s="7"/>
      <c r="D13" s="7"/>
      <c r="E13" s="7"/>
      <c r="F13" s="7"/>
      <c r="G13" s="7"/>
    </row>
    <row r="14" spans="1:7">
      <c r="A14" s="5">
        <v>13</v>
      </c>
      <c r="B14" s="7"/>
      <c r="C14" s="7"/>
      <c r="D14" s="7"/>
      <c r="E14" s="7"/>
      <c r="F14" s="7"/>
      <c r="G14" s="7"/>
    </row>
    <row r="15" spans="1:7">
      <c r="A15" s="5">
        <v>14</v>
      </c>
      <c r="B15" s="7"/>
      <c r="C15" s="7"/>
      <c r="D15" s="7"/>
      <c r="E15" s="7"/>
      <c r="F15" s="7"/>
      <c r="G15" s="7"/>
    </row>
    <row r="16" spans="1:7">
      <c r="A16" s="5">
        <v>15</v>
      </c>
      <c r="B16" s="7"/>
      <c r="C16" s="7"/>
      <c r="D16" s="7"/>
      <c r="E16" s="7"/>
      <c r="F16" s="7"/>
      <c r="G16" s="7"/>
    </row>
    <row r="17" spans="1:7">
      <c r="A17" s="5">
        <v>16</v>
      </c>
      <c r="B17" s="7"/>
      <c r="C17" s="7"/>
      <c r="D17" s="7"/>
      <c r="E17" s="7"/>
      <c r="F17" s="7"/>
      <c r="G17" s="7"/>
    </row>
    <row r="18" spans="1:7">
      <c r="A18" s="5">
        <v>17</v>
      </c>
      <c r="B18" s="7"/>
      <c r="C18" s="7"/>
      <c r="D18" s="7"/>
      <c r="E18" s="7"/>
      <c r="F18" s="7"/>
      <c r="G18" s="7"/>
    </row>
    <row r="19" spans="1:7">
      <c r="A19" s="5">
        <v>18</v>
      </c>
      <c r="B19" s="7"/>
      <c r="C19" s="7"/>
      <c r="D19" s="7"/>
      <c r="E19" s="7"/>
      <c r="F19" s="7"/>
      <c r="G19" s="7"/>
    </row>
    <row r="20" spans="1:7">
      <c r="A20" s="5">
        <v>19</v>
      </c>
      <c r="B20" s="7"/>
      <c r="C20" s="7"/>
      <c r="D20" s="7"/>
      <c r="E20" s="7"/>
      <c r="F20" s="7"/>
      <c r="G20" s="7"/>
    </row>
    <row r="21" spans="1:7">
      <c r="A21" s="5">
        <v>20</v>
      </c>
      <c r="B21" s="7"/>
      <c r="C21" s="7"/>
      <c r="D21" s="7"/>
      <c r="E21" s="7"/>
      <c r="F21" s="7"/>
      <c r="G21" s="7"/>
    </row>
    <row r="22" spans="1:7">
      <c r="A22" s="5">
        <v>21</v>
      </c>
      <c r="B22" s="7"/>
      <c r="C22" s="7"/>
      <c r="D22" s="7"/>
      <c r="E22" s="7"/>
      <c r="F22" s="7"/>
      <c r="G22" s="7"/>
    </row>
    <row r="23" spans="1:7">
      <c r="A23" s="5">
        <v>22</v>
      </c>
      <c r="B23" s="7"/>
      <c r="C23" s="7"/>
      <c r="D23" s="7"/>
      <c r="E23" s="7"/>
      <c r="F23" s="7"/>
      <c r="G23" s="7"/>
    </row>
    <row r="24" spans="1:7">
      <c r="A24" s="5">
        <v>23</v>
      </c>
      <c r="B24" s="7"/>
      <c r="C24" s="7"/>
      <c r="D24" s="7"/>
      <c r="E24" s="7"/>
      <c r="F24" s="7"/>
      <c r="G24" s="7"/>
    </row>
    <row r="25" spans="1:7">
      <c r="A25" s="5">
        <v>24</v>
      </c>
      <c r="B25" s="7"/>
      <c r="C25" s="7"/>
      <c r="D25" s="7"/>
      <c r="E25" s="7"/>
      <c r="F25" s="7"/>
      <c r="G25" s="7"/>
    </row>
    <row r="26" spans="1:7">
      <c r="A26" s="5">
        <v>25</v>
      </c>
      <c r="B26" s="7"/>
      <c r="C26" s="7"/>
      <c r="D26" s="7"/>
      <c r="E26" s="7"/>
      <c r="F26" s="7"/>
      <c r="G26" s="7"/>
    </row>
    <row r="27" spans="1:7">
      <c r="A27" s="5">
        <v>26</v>
      </c>
      <c r="B27" s="7"/>
      <c r="C27" s="7"/>
      <c r="D27" s="7"/>
      <c r="E27" s="7"/>
      <c r="F27" s="7"/>
      <c r="G27" s="7"/>
    </row>
    <row r="28" spans="1:7">
      <c r="A28" s="5">
        <v>27</v>
      </c>
      <c r="B28" s="7"/>
      <c r="C28" s="7"/>
      <c r="D28" s="7"/>
      <c r="E28" s="7"/>
      <c r="F28" s="7"/>
      <c r="G28" s="7"/>
    </row>
    <row r="29" spans="1:7">
      <c r="A29" s="5">
        <v>28</v>
      </c>
      <c r="B29" s="7"/>
      <c r="C29" s="7"/>
      <c r="D29" s="7"/>
      <c r="E29" s="7"/>
      <c r="F29" s="7"/>
      <c r="G29" s="7"/>
    </row>
    <row r="30" spans="1:7">
      <c r="A30" s="5">
        <v>29</v>
      </c>
      <c r="B30" s="7"/>
      <c r="C30" s="7"/>
      <c r="D30" s="7"/>
      <c r="E30" s="7"/>
      <c r="F30" s="7"/>
      <c r="G30" s="7"/>
    </row>
    <row r="31" spans="1:7">
      <c r="A31" s="5">
        <v>30</v>
      </c>
      <c r="B31" s="7"/>
      <c r="C31" s="7"/>
      <c r="D31" s="7"/>
      <c r="E31" s="7"/>
      <c r="F31" s="7"/>
      <c r="G31" s="7"/>
    </row>
    <row r="32" spans="1:7">
      <c r="A32" s="5">
        <v>31</v>
      </c>
      <c r="B32" s="7"/>
      <c r="C32" s="7"/>
      <c r="D32" s="7"/>
      <c r="E32" s="7"/>
      <c r="F32" s="7"/>
      <c r="G32" s="7"/>
    </row>
    <row r="33" spans="1:7">
      <c r="A33" s="5">
        <v>32</v>
      </c>
      <c r="B33" s="7"/>
      <c r="C33" s="7"/>
      <c r="D33" s="7"/>
      <c r="E33" s="7"/>
      <c r="F33" s="7"/>
      <c r="G33" s="7"/>
    </row>
    <row r="34" spans="1:7">
      <c r="A34" s="5">
        <v>33</v>
      </c>
      <c r="B34" s="7"/>
      <c r="C34" s="7"/>
      <c r="D34" s="7"/>
      <c r="E34" s="7"/>
      <c r="F34" s="7"/>
      <c r="G34" s="7"/>
    </row>
    <row r="35" spans="1:7">
      <c r="A35" s="5">
        <v>34</v>
      </c>
      <c r="B35" s="7"/>
      <c r="C35" s="7"/>
      <c r="D35" s="7"/>
      <c r="E35" s="7"/>
      <c r="F35" s="7"/>
      <c r="G35" s="7"/>
    </row>
    <row r="36" spans="1:7">
      <c r="A36" s="5">
        <v>35</v>
      </c>
      <c r="B36" s="7"/>
      <c r="C36" s="7"/>
      <c r="D36" s="7"/>
      <c r="E36" s="7"/>
      <c r="F36" s="7"/>
      <c r="G36" s="7"/>
    </row>
    <row r="37" spans="1:7">
      <c r="A37" s="5">
        <v>36</v>
      </c>
      <c r="B37" s="7"/>
      <c r="C37" s="7"/>
      <c r="D37" s="7"/>
      <c r="E37" s="7"/>
      <c r="F37" s="7"/>
      <c r="G37" s="7"/>
    </row>
    <row r="38" spans="1:7">
      <c r="A38" s="5">
        <v>37</v>
      </c>
      <c r="B38" s="7"/>
      <c r="C38" s="7"/>
      <c r="D38" s="7"/>
      <c r="E38" s="7"/>
      <c r="F38" s="7"/>
      <c r="G38" s="7"/>
    </row>
    <row r="39" spans="1:7">
      <c r="A39" s="5">
        <v>38</v>
      </c>
      <c r="B39" s="7"/>
      <c r="C39" s="7"/>
      <c r="D39" s="7"/>
      <c r="E39" s="7"/>
      <c r="F39" s="7"/>
      <c r="G39" s="7"/>
    </row>
    <row r="40" spans="1:7">
      <c r="A40" s="5">
        <v>39</v>
      </c>
      <c r="B40" s="7"/>
      <c r="C40" s="7"/>
      <c r="D40" s="7"/>
      <c r="E40" s="7"/>
      <c r="F40" s="7"/>
      <c r="G40" s="7"/>
    </row>
    <row r="41" spans="1:7">
      <c r="A41" s="5">
        <v>40</v>
      </c>
      <c r="B41" s="7"/>
      <c r="C41" s="7"/>
      <c r="D41" s="7"/>
      <c r="E41" s="7"/>
      <c r="F41" s="7"/>
      <c r="G41" s="7"/>
    </row>
    <row r="42" spans="1:7">
      <c r="A42" s="5">
        <v>41</v>
      </c>
      <c r="B42" s="7"/>
      <c r="C42" s="7"/>
      <c r="D42" s="7"/>
      <c r="E42" s="7"/>
      <c r="F42" s="7"/>
      <c r="G42" s="7"/>
    </row>
    <row r="43" spans="1:7">
      <c r="A43" s="5">
        <v>42</v>
      </c>
      <c r="B43" s="7"/>
      <c r="C43" s="7"/>
      <c r="D43" s="7"/>
      <c r="E43" s="7"/>
      <c r="F43" s="7"/>
      <c r="G43" s="7"/>
    </row>
    <row r="44" spans="1:7">
      <c r="A44" s="5">
        <v>43</v>
      </c>
      <c r="B44" s="7"/>
      <c r="C44" s="7"/>
      <c r="D44" s="7"/>
      <c r="E44" s="7"/>
      <c r="F44" s="7"/>
      <c r="G44" s="7"/>
    </row>
    <row r="45" spans="1:7">
      <c r="A45" s="5">
        <v>44</v>
      </c>
      <c r="B45" s="7"/>
      <c r="C45" s="7"/>
      <c r="D45" s="7"/>
      <c r="E45" s="7"/>
      <c r="F45" s="7"/>
      <c r="G45" s="7"/>
    </row>
    <row r="46" spans="1:7">
      <c r="A46" s="5">
        <v>45</v>
      </c>
      <c r="B46" s="7"/>
      <c r="C46" s="7"/>
      <c r="D46" s="7"/>
      <c r="E46" s="7"/>
      <c r="F46" s="7"/>
      <c r="G46" s="7"/>
    </row>
    <row r="47" spans="1:7">
      <c r="A47" s="5">
        <v>46</v>
      </c>
      <c r="B47" s="7"/>
      <c r="C47" s="7"/>
      <c r="D47" s="7"/>
      <c r="E47" s="7"/>
      <c r="F47" s="7"/>
      <c r="G47" s="7"/>
    </row>
    <row r="48" spans="1:7">
      <c r="A48" s="5">
        <v>47</v>
      </c>
      <c r="B48" s="7"/>
      <c r="C48" s="7"/>
      <c r="D48" s="7"/>
      <c r="E48" s="7"/>
      <c r="F48" s="7"/>
      <c r="G48" s="7"/>
    </row>
    <row r="49" spans="1:7">
      <c r="A49" s="5">
        <v>48</v>
      </c>
      <c r="B49" s="7"/>
      <c r="C49" s="7"/>
      <c r="D49" s="7"/>
      <c r="E49" s="7"/>
      <c r="F49" s="7"/>
      <c r="G49" s="7"/>
    </row>
    <row r="50" spans="1:7">
      <c r="A50" s="5">
        <v>49</v>
      </c>
      <c r="B50" s="7"/>
      <c r="C50" s="7"/>
      <c r="D50" s="7"/>
      <c r="E50" s="7"/>
      <c r="F50" s="7"/>
      <c r="G50" s="7"/>
    </row>
    <row r="51" spans="1:7">
      <c r="A51" s="5">
        <v>50</v>
      </c>
      <c r="B51" s="7"/>
      <c r="C51" s="7"/>
      <c r="D51" s="7"/>
      <c r="E51" s="7"/>
      <c r="F51" s="7"/>
      <c r="G51" s="7"/>
    </row>
    <row r="52" spans="1:7">
      <c r="A52" s="5">
        <v>51</v>
      </c>
      <c r="B52" s="7"/>
      <c r="C52" s="7"/>
      <c r="D52" s="7"/>
      <c r="E52" s="7"/>
      <c r="F52" s="7"/>
      <c r="G52" s="7"/>
    </row>
    <row r="53" spans="1:7">
      <c r="A53" s="5">
        <v>52</v>
      </c>
      <c r="B53" s="7"/>
      <c r="C53" s="7"/>
      <c r="D53" s="7"/>
      <c r="E53" s="7"/>
      <c r="F53" s="7"/>
      <c r="G53" s="7"/>
    </row>
    <row r="54" spans="1:7">
      <c r="A54" s="5">
        <v>53</v>
      </c>
      <c r="B54" s="7"/>
      <c r="C54" s="7"/>
      <c r="D54" s="7"/>
      <c r="E54" s="7"/>
      <c r="F54" s="7"/>
      <c r="G54" s="7"/>
    </row>
    <row r="55" spans="1:7">
      <c r="A55" s="5">
        <v>54</v>
      </c>
      <c r="B55" s="7"/>
      <c r="C55" s="7"/>
      <c r="D55" s="7"/>
      <c r="E55" s="7"/>
      <c r="F55" s="7"/>
      <c r="G55" s="7"/>
    </row>
    <row r="56" spans="1:7">
      <c r="A56" s="5">
        <v>55</v>
      </c>
      <c r="B56" s="7"/>
      <c r="C56" s="7"/>
      <c r="D56" s="7"/>
      <c r="E56" s="7"/>
      <c r="F56" s="7"/>
      <c r="G56" s="7"/>
    </row>
    <row r="57" spans="1:7">
      <c r="A57" s="5">
        <v>56</v>
      </c>
      <c r="B57" s="7"/>
      <c r="C57" s="7"/>
      <c r="D57" s="7"/>
      <c r="E57" s="7"/>
      <c r="F57" s="7"/>
      <c r="G57" s="7"/>
    </row>
    <row r="58" spans="1:7">
      <c r="A58" s="5">
        <v>57</v>
      </c>
      <c r="B58" s="7"/>
      <c r="C58" s="7"/>
      <c r="D58" s="7"/>
      <c r="E58" s="7"/>
      <c r="F58" s="7"/>
      <c r="G58" s="7"/>
    </row>
    <row r="59" spans="1:7">
      <c r="A59" s="5">
        <v>58</v>
      </c>
      <c r="B59" s="7"/>
      <c r="C59" s="7"/>
      <c r="D59" s="7"/>
      <c r="E59" s="7"/>
      <c r="F59" s="7"/>
      <c r="G59" s="7"/>
    </row>
    <row r="60" spans="1:7">
      <c r="A60" s="5">
        <v>59</v>
      </c>
      <c r="B60" s="7"/>
      <c r="C60" s="7"/>
      <c r="D60" s="7"/>
      <c r="E60" s="7"/>
      <c r="F60" s="7"/>
      <c r="G60" s="7"/>
    </row>
    <row r="61" spans="1:7">
      <c r="A61" s="5">
        <v>60</v>
      </c>
      <c r="B61" s="7"/>
      <c r="C61" s="7"/>
      <c r="D61" s="7"/>
      <c r="E61" s="7"/>
      <c r="F61" s="7"/>
      <c r="G61" s="7"/>
    </row>
    <row r="62" spans="1:7">
      <c r="A62" s="5">
        <v>61</v>
      </c>
      <c r="B62" s="7"/>
      <c r="C62" s="7"/>
      <c r="D62" s="7"/>
      <c r="E62" s="7"/>
      <c r="F62" s="7"/>
      <c r="G62" s="7"/>
    </row>
    <row r="63" spans="1:7">
      <c r="A63" s="5">
        <v>62</v>
      </c>
      <c r="B63" s="7"/>
      <c r="C63" s="7"/>
      <c r="D63" s="7"/>
      <c r="E63" s="7"/>
      <c r="F63" s="7"/>
      <c r="G63" s="7"/>
    </row>
    <row r="64" spans="1:7">
      <c r="A64" s="5">
        <v>63</v>
      </c>
      <c r="B64" s="7"/>
      <c r="C64" s="7"/>
      <c r="D64" s="7"/>
      <c r="E64" s="7"/>
      <c r="F64" s="7"/>
      <c r="G64" s="7"/>
    </row>
    <row r="65" spans="1:7">
      <c r="A65" s="5">
        <v>64</v>
      </c>
      <c r="B65" s="7"/>
      <c r="C65" s="7"/>
      <c r="D65" s="7"/>
      <c r="E65" s="7"/>
      <c r="F65" s="7"/>
      <c r="G65" s="7"/>
    </row>
    <row r="66" spans="1:7">
      <c r="A66" s="5">
        <v>65</v>
      </c>
      <c r="B66" s="7"/>
      <c r="C66" s="7"/>
      <c r="D66" s="7"/>
      <c r="E66" s="7"/>
      <c r="F66" s="7"/>
      <c r="G66" s="7"/>
    </row>
    <row r="67" spans="1:7">
      <c r="A67" s="5">
        <v>66</v>
      </c>
      <c r="B67" s="7"/>
      <c r="C67" s="7"/>
      <c r="D67" s="7"/>
      <c r="E67" s="7"/>
      <c r="F67" s="7"/>
      <c r="G67" s="7"/>
    </row>
    <row r="68" spans="1:7">
      <c r="A68" s="5">
        <v>67</v>
      </c>
      <c r="B68" s="7"/>
      <c r="C68" s="7"/>
      <c r="D68" s="7"/>
      <c r="E68" s="7"/>
      <c r="F68" s="7"/>
      <c r="G68" s="7"/>
    </row>
    <row r="69" spans="1:7">
      <c r="A69" s="5">
        <v>68</v>
      </c>
      <c r="B69" s="7"/>
      <c r="C69" s="7"/>
      <c r="D69" s="7"/>
      <c r="E69" s="7"/>
      <c r="F69" s="7"/>
      <c r="G69" s="7"/>
    </row>
    <row r="70" spans="1:7">
      <c r="A70" s="5">
        <v>69</v>
      </c>
      <c r="B70" s="7"/>
      <c r="C70" s="7"/>
      <c r="D70" s="7"/>
      <c r="E70" s="7"/>
      <c r="F70" s="7"/>
      <c r="G70" s="7"/>
    </row>
    <row r="71" spans="1:7">
      <c r="A71" s="5">
        <v>70</v>
      </c>
      <c r="B71" s="7"/>
      <c r="C71" s="7"/>
      <c r="D71" s="7"/>
      <c r="E71" s="7"/>
      <c r="F71" s="7"/>
      <c r="G71" s="7"/>
    </row>
    <row r="72" spans="1:7">
      <c r="A72" s="5">
        <v>71</v>
      </c>
      <c r="B72" s="7"/>
      <c r="C72" s="7"/>
      <c r="D72" s="7"/>
      <c r="E72" s="7"/>
      <c r="F72" s="7"/>
      <c r="G72" s="7"/>
    </row>
    <row r="73" spans="1:7">
      <c r="A73" s="5">
        <v>72</v>
      </c>
      <c r="B73" s="7"/>
      <c r="C73" s="7"/>
      <c r="D73" s="7"/>
      <c r="E73" s="7"/>
      <c r="F73" s="7"/>
      <c r="G73" s="7"/>
    </row>
    <row r="74" spans="1:7">
      <c r="A74" s="5">
        <v>73</v>
      </c>
      <c r="B74" s="7"/>
      <c r="C74" s="7"/>
      <c r="D74" s="7"/>
      <c r="E74" s="7"/>
      <c r="F74" s="7"/>
      <c r="G74" s="7"/>
    </row>
    <row r="75" spans="1:7">
      <c r="A75" s="5">
        <v>74</v>
      </c>
      <c r="B75" s="7"/>
      <c r="C75" s="7"/>
      <c r="D75" s="7"/>
      <c r="E75" s="7"/>
      <c r="F75" s="7"/>
      <c r="G75" s="7"/>
    </row>
    <row r="76" spans="1:7">
      <c r="A76" s="5">
        <v>75</v>
      </c>
      <c r="B76" s="7"/>
      <c r="C76" s="7"/>
      <c r="D76" s="7"/>
      <c r="E76" s="7"/>
      <c r="F76" s="7"/>
      <c r="G76" s="7"/>
    </row>
    <row r="77" spans="1:7">
      <c r="A77" s="5">
        <v>76</v>
      </c>
      <c r="B77" s="7"/>
      <c r="C77" s="7"/>
      <c r="D77" s="7"/>
      <c r="E77" s="7"/>
      <c r="F77" s="7"/>
      <c r="G77" s="7"/>
    </row>
    <row r="78" spans="1:7">
      <c r="A78" s="5">
        <v>77</v>
      </c>
      <c r="B78" s="7"/>
      <c r="C78" s="7"/>
      <c r="D78" s="7"/>
      <c r="E78" s="7"/>
      <c r="F78" s="7"/>
      <c r="G78" s="7"/>
    </row>
    <row r="79" spans="1:7">
      <c r="A79" s="5">
        <v>78</v>
      </c>
      <c r="B79" s="7"/>
      <c r="C79" s="7"/>
      <c r="D79" s="7"/>
      <c r="E79" s="7"/>
      <c r="F79" s="7"/>
      <c r="G79" s="7"/>
    </row>
    <row r="80" spans="1:7">
      <c r="A80" s="5">
        <v>79</v>
      </c>
      <c r="B80" s="7"/>
      <c r="C80" s="7"/>
      <c r="D80" s="7"/>
      <c r="E80" s="7"/>
      <c r="F80" s="7"/>
      <c r="G80" s="7"/>
    </row>
    <row r="81" spans="1:7">
      <c r="A81" s="5">
        <v>80</v>
      </c>
      <c r="B81" s="7"/>
      <c r="C81" s="7"/>
      <c r="D81" s="7"/>
      <c r="E81" s="7"/>
      <c r="F81" s="7"/>
      <c r="G81" s="7"/>
    </row>
    <row r="82" spans="1:7">
      <c r="A82" s="5">
        <v>81</v>
      </c>
      <c r="B82" s="7"/>
      <c r="C82" s="7"/>
      <c r="D82" s="7"/>
      <c r="E82" s="7"/>
      <c r="F82" s="7"/>
      <c r="G82" s="7"/>
    </row>
    <row r="83" spans="1:7">
      <c r="A83" s="5">
        <v>82</v>
      </c>
      <c r="B83" s="7"/>
      <c r="C83" s="7"/>
      <c r="D83" s="7"/>
      <c r="E83" s="7"/>
      <c r="F83" s="7"/>
      <c r="G83" s="7"/>
    </row>
    <row r="84" spans="1:7">
      <c r="A84" s="5">
        <v>83</v>
      </c>
      <c r="B84" s="7"/>
      <c r="C84" s="7"/>
      <c r="D84" s="7"/>
      <c r="E84" s="7"/>
      <c r="F84" s="7"/>
      <c r="G84" s="7"/>
    </row>
    <row r="85" spans="1:7">
      <c r="A85" s="5">
        <v>84</v>
      </c>
      <c r="B85" s="7"/>
      <c r="C85" s="7"/>
      <c r="D85" s="7"/>
      <c r="E85" s="7"/>
      <c r="F85" s="7"/>
      <c r="G85" s="7"/>
    </row>
    <row r="86" spans="1:7">
      <c r="A86" s="5">
        <v>85</v>
      </c>
      <c r="B86" s="7"/>
      <c r="C86" s="7"/>
      <c r="D86" s="7"/>
      <c r="E86" s="7"/>
      <c r="F86" s="7"/>
      <c r="G86" s="7"/>
    </row>
    <row r="87" spans="1:7">
      <c r="A87" s="5">
        <v>86</v>
      </c>
      <c r="B87" s="7"/>
      <c r="C87" s="7"/>
      <c r="D87" s="7"/>
      <c r="E87" s="7"/>
      <c r="F87" s="7"/>
      <c r="G87" s="7"/>
    </row>
    <row r="88" spans="1:7">
      <c r="A88" s="5">
        <v>87</v>
      </c>
      <c r="B88" s="7"/>
      <c r="C88" s="7"/>
      <c r="D88" s="7"/>
      <c r="E88" s="7"/>
      <c r="F88" s="7"/>
      <c r="G88" s="7"/>
    </row>
    <row r="89" spans="1:7">
      <c r="A89" s="5">
        <v>88</v>
      </c>
      <c r="B89" s="7"/>
      <c r="C89" s="7"/>
      <c r="D89" s="7"/>
      <c r="E89" s="7"/>
      <c r="F89" s="7"/>
      <c r="G89" s="7"/>
    </row>
    <row r="90" spans="1:7">
      <c r="A90" s="5">
        <v>89</v>
      </c>
      <c r="B90" s="7"/>
      <c r="C90" s="7"/>
      <c r="D90" s="7"/>
      <c r="E90" s="7"/>
      <c r="F90" s="7"/>
      <c r="G90" s="7"/>
    </row>
    <row r="91" spans="1:7">
      <c r="A91" s="5">
        <v>90</v>
      </c>
      <c r="B91" s="7"/>
      <c r="C91" s="7"/>
      <c r="D91" s="7"/>
      <c r="E91" s="7"/>
      <c r="F91" s="7"/>
      <c r="G91" s="7"/>
    </row>
    <row r="92" spans="1:7">
      <c r="A92" s="5">
        <v>91</v>
      </c>
      <c r="B92" s="7"/>
      <c r="C92" s="7"/>
      <c r="D92" s="7"/>
      <c r="E92" s="7"/>
      <c r="F92" s="7"/>
      <c r="G92" s="7"/>
    </row>
    <row r="93" spans="1:7">
      <c r="A93" s="5">
        <v>92</v>
      </c>
      <c r="B93" s="7"/>
      <c r="C93" s="7"/>
      <c r="D93" s="7"/>
      <c r="E93" s="7"/>
      <c r="F93" s="7"/>
      <c r="G93" s="7"/>
    </row>
    <row r="94" spans="1:7">
      <c r="A94" s="5">
        <v>93</v>
      </c>
      <c r="B94" s="7"/>
      <c r="C94" s="7"/>
      <c r="D94" s="7"/>
      <c r="E94" s="7"/>
      <c r="F94" s="7"/>
      <c r="G94" s="7"/>
    </row>
    <row r="95" spans="1:7">
      <c r="A95" s="5">
        <v>94</v>
      </c>
      <c r="B95" s="7"/>
      <c r="C95" s="7"/>
      <c r="D95" s="7"/>
      <c r="E95" s="7"/>
      <c r="F95" s="7"/>
      <c r="G95" s="7"/>
    </row>
    <row r="96" spans="1:7">
      <c r="A96" s="5">
        <v>95</v>
      </c>
      <c r="B96" s="7"/>
      <c r="C96" s="7"/>
      <c r="D96" s="7"/>
      <c r="E96" s="7"/>
      <c r="F96" s="7"/>
      <c r="G96" s="7"/>
    </row>
    <row r="97" spans="1:7">
      <c r="A97" s="5">
        <v>96</v>
      </c>
      <c r="B97" s="7"/>
      <c r="C97" s="7"/>
      <c r="D97" s="7"/>
      <c r="E97" s="7"/>
      <c r="F97" s="7"/>
      <c r="G97" s="7"/>
    </row>
    <row r="98" spans="1:7">
      <c r="A98" s="5">
        <v>97</v>
      </c>
      <c r="B98" s="7"/>
      <c r="C98" s="7"/>
      <c r="D98" s="7"/>
      <c r="E98" s="7"/>
      <c r="F98" s="7"/>
      <c r="G98" s="7"/>
    </row>
    <row r="99" spans="1:7">
      <c r="A99" s="5">
        <v>98</v>
      </c>
      <c r="B99" s="7"/>
      <c r="C99" s="7"/>
      <c r="D99" s="7"/>
      <c r="E99" s="7"/>
      <c r="F99" s="7"/>
      <c r="G99" s="7"/>
    </row>
    <row r="100" spans="1:7">
      <c r="A100" s="5">
        <v>99</v>
      </c>
      <c r="B100" s="7"/>
      <c r="C100" s="7"/>
      <c r="D100" s="7"/>
      <c r="E100" s="7"/>
      <c r="F100" s="7"/>
      <c r="G100" s="7"/>
    </row>
    <row r="101" spans="1:7">
      <c r="A101" s="5">
        <v>100</v>
      </c>
      <c r="B101" s="7"/>
      <c r="C101" s="7"/>
      <c r="D101" s="7"/>
      <c r="E101" s="7"/>
      <c r="F101" s="7"/>
      <c r="G101" s="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01"/>
  <sheetViews>
    <sheetView showGridLines="0" tabSelected="1" workbookViewId="0">
      <selection activeCell="N2" sqref="N2"/>
    </sheetView>
  </sheetViews>
  <sheetFormatPr defaultRowHeight="15"/>
  <cols>
    <col min="1" max="1" width="10" style="24" customWidth="1"/>
    <col min="2" max="2" width="22.5703125" style="24" customWidth="1"/>
    <col min="3" max="3" width="26" style="24" customWidth="1"/>
    <col min="4" max="4" width="26.42578125" style="24" customWidth="1"/>
    <col min="5" max="5" width="31.5703125" style="24" customWidth="1"/>
    <col min="6" max="8" width="4" style="24" customWidth="1"/>
    <col min="9" max="10" width="8" style="24" customWidth="1"/>
    <col min="11" max="11" width="11" style="24" customWidth="1"/>
    <col min="12" max="12" width="12" style="24" customWidth="1"/>
    <col min="13" max="13" width="10" style="24" customWidth="1"/>
    <col min="14" max="14" width="23.28515625" style="24" customWidth="1"/>
    <col min="15" max="16384" width="9.140625" style="24"/>
  </cols>
  <sheetData>
    <row r="1" spans="1:21" ht="30.75">
      <c r="A1" s="3" t="s">
        <v>264</v>
      </c>
      <c r="B1" s="3" t="s">
        <v>132</v>
      </c>
      <c r="C1" s="3" t="s">
        <v>131</v>
      </c>
      <c r="D1" s="3" t="s">
        <v>157</v>
      </c>
      <c r="E1" s="3" t="s">
        <v>158</v>
      </c>
      <c r="F1" s="3" t="s">
        <v>40</v>
      </c>
      <c r="G1" s="3" t="s">
        <v>41</v>
      </c>
      <c r="H1" s="3" t="s">
        <v>42</v>
      </c>
      <c r="I1" s="3" t="s">
        <v>265</v>
      </c>
      <c r="J1" s="3" t="s">
        <v>159</v>
      </c>
      <c r="K1" s="3" t="s">
        <v>266</v>
      </c>
      <c r="L1" s="29" t="s">
        <v>267</v>
      </c>
      <c r="M1" s="3" t="s">
        <v>268</v>
      </c>
      <c r="N1" s="3" t="s">
        <v>269</v>
      </c>
      <c r="P1" s="44" t="s">
        <v>270</v>
      </c>
      <c r="Q1" s="45"/>
      <c r="R1" s="45"/>
      <c r="S1" s="45"/>
      <c r="T1" s="45"/>
      <c r="U1" s="46"/>
    </row>
    <row r="2" spans="1:21" ht="57.75">
      <c r="A2" s="9" t="str">
        <f>IF(COUNTA(C2:E2)&gt;0,"R"&amp;ROW()-1,"")</f>
        <v>R1</v>
      </c>
      <c r="B2" s="27" t="s">
        <v>44</v>
      </c>
      <c r="C2" s="27" t="s">
        <v>271</v>
      </c>
      <c r="D2" s="27" t="s">
        <v>272</v>
      </c>
      <c r="E2" s="27" t="s">
        <v>273</v>
      </c>
      <c r="F2" s="27" t="s">
        <v>3</v>
      </c>
      <c r="G2" s="27" t="s">
        <v>4</v>
      </c>
      <c r="H2" s="27" t="s">
        <v>4</v>
      </c>
      <c r="I2" s="27" t="s">
        <v>4</v>
      </c>
      <c r="J2" s="23" t="s">
        <v>4</v>
      </c>
      <c r="K2" s="10">
        <f>IF(OR(I2="",J2=""),"",IFERROR(VLOOKUP(I2,'99_Lookups'!$A$2:$B$4,2,FALSE),"")*IFERROR(VLOOKUP(J2,'99_Lookups'!$A$2:$B$4,2,FALSE),""))</f>
        <v>9</v>
      </c>
      <c r="L2" s="31" t="str">
        <f>IF(K2="","",IF(K2&lt;=3,"Laag",IF(K2&lt;=6,"Midden","Hoog")))</f>
        <v>Hoog</v>
      </c>
      <c r="M2" s="27" t="s">
        <v>274</v>
      </c>
      <c r="N2" s="27" t="s">
        <v>275</v>
      </c>
      <c r="P2" s="47" t="s">
        <v>276</v>
      </c>
      <c r="Q2" s="48"/>
      <c r="R2" s="48"/>
      <c r="S2" s="48"/>
      <c r="T2" s="48"/>
      <c r="U2" s="49"/>
    </row>
    <row r="3" spans="1:21" ht="57.75">
      <c r="A3" s="9" t="str">
        <f t="shared" ref="A2:A33" si="0">IF(COUNTA(C3:E3)&gt;0,"R"&amp;ROW()-1,"")</f>
        <v>R2</v>
      </c>
      <c r="B3" s="27" t="s">
        <v>277</v>
      </c>
      <c r="C3" s="27" t="s">
        <v>278</v>
      </c>
      <c r="D3" s="27" t="s">
        <v>279</v>
      </c>
      <c r="E3" s="27" t="s">
        <v>280</v>
      </c>
      <c r="F3" s="27" t="s">
        <v>4</v>
      </c>
      <c r="G3" s="27" t="s">
        <v>4</v>
      </c>
      <c r="H3" s="27" t="s">
        <v>4</v>
      </c>
      <c r="I3" s="27" t="s">
        <v>3</v>
      </c>
      <c r="J3" s="23" t="s">
        <v>4</v>
      </c>
      <c r="K3" s="35">
        <f>IF(OR(I3="",J3=""),"",IFERROR(VLOOKUP(I3,'99_Lookups'!$A$2:$B$4,2,FALSE),"")*IFERROR(VLOOKUP(J3,'99_Lookups'!$A$2:$B$4,2,FALSE),""))</f>
        <v>6</v>
      </c>
      <c r="L3" s="31" t="str">
        <f>IF(K3="","",IF(K3&lt;=3,"Laag",IF(K3&lt;=6,"Midden","Hoog")))</f>
        <v>Midden</v>
      </c>
      <c r="M3" s="27" t="s">
        <v>274</v>
      </c>
      <c r="N3" s="27" t="s">
        <v>281</v>
      </c>
      <c r="P3" s="50"/>
      <c r="Q3" s="51"/>
      <c r="R3" s="51"/>
      <c r="S3" s="51"/>
      <c r="T3" s="51"/>
      <c r="U3" s="52"/>
    </row>
    <row r="4" spans="1:21" ht="57.75">
      <c r="A4" s="9" t="str">
        <f t="shared" si="0"/>
        <v>R3</v>
      </c>
      <c r="B4" s="27" t="s">
        <v>140</v>
      </c>
      <c r="C4" s="27" t="s">
        <v>96</v>
      </c>
      <c r="D4" s="27" t="s">
        <v>282</v>
      </c>
      <c r="E4" s="27" t="s">
        <v>283</v>
      </c>
      <c r="F4" s="27" t="s">
        <v>2</v>
      </c>
      <c r="G4" s="27" t="s">
        <v>3</v>
      </c>
      <c r="H4" s="27" t="s">
        <v>4</v>
      </c>
      <c r="I4" s="27" t="s">
        <v>3</v>
      </c>
      <c r="J4" s="23" t="s">
        <v>4</v>
      </c>
      <c r="K4" s="35">
        <f>IF(OR(I4="",J4=""),"",IFERROR(VLOOKUP(I4,'99_Lookups'!$A$2:$B$4,2,FALSE),"")*IFERROR(VLOOKUP(J4,'99_Lookups'!$A$2:$B$4,2,FALSE),""))</f>
        <v>6</v>
      </c>
      <c r="L4" s="31" t="str">
        <f>IF(K4="","",IF(K4&lt;=3,"Laag",IF(K4&lt;=6,"Midden","Hoog")))</f>
        <v>Midden</v>
      </c>
      <c r="M4" s="27" t="s">
        <v>284</v>
      </c>
      <c r="N4" s="27" t="s">
        <v>285</v>
      </c>
    </row>
    <row r="5" spans="1:21" ht="43.5">
      <c r="A5" s="9" t="str">
        <f t="shared" si="0"/>
        <v>R4</v>
      </c>
      <c r="B5" s="27" t="s">
        <v>140</v>
      </c>
      <c r="C5" s="27" t="s">
        <v>286</v>
      </c>
      <c r="D5" s="27" t="s">
        <v>287</v>
      </c>
      <c r="E5" s="27" t="s">
        <v>288</v>
      </c>
      <c r="F5" s="27" t="s">
        <v>2</v>
      </c>
      <c r="G5" s="27" t="s">
        <v>3</v>
      </c>
      <c r="H5" s="27" t="s">
        <v>4</v>
      </c>
      <c r="I5" s="27" t="s">
        <v>3</v>
      </c>
      <c r="J5" s="23" t="s">
        <v>4</v>
      </c>
      <c r="K5" s="35">
        <f>IF(OR(I5="",J5=""),"",IFERROR(VLOOKUP(I5,'99_Lookups'!$A$2:$B$4,2,FALSE),"")*IFERROR(VLOOKUP(J5,'99_Lookups'!$A$2:$B$4,2,FALSE),""))</f>
        <v>6</v>
      </c>
      <c r="L5" s="31" t="str">
        <f>IF(K5="","",IF(K5&lt;=3,"Laag",IF(K5&lt;=6,"Midden","Hoog")))</f>
        <v>Midden</v>
      </c>
      <c r="M5" s="27" t="s">
        <v>274</v>
      </c>
      <c r="N5" s="27" t="s">
        <v>289</v>
      </c>
    </row>
    <row r="6" spans="1:21" ht="43.5">
      <c r="A6" s="9" t="str">
        <f t="shared" si="0"/>
        <v>R5</v>
      </c>
      <c r="B6" s="27" t="s">
        <v>140</v>
      </c>
      <c r="C6" s="27" t="s">
        <v>290</v>
      </c>
      <c r="D6" s="27" t="s">
        <v>291</v>
      </c>
      <c r="E6" s="27" t="s">
        <v>292</v>
      </c>
      <c r="F6" s="27" t="s">
        <v>2</v>
      </c>
      <c r="G6" s="27" t="s">
        <v>4</v>
      </c>
      <c r="H6" s="27" t="s">
        <v>4</v>
      </c>
      <c r="I6" s="27" t="s">
        <v>3</v>
      </c>
      <c r="J6" s="23" t="s">
        <v>4</v>
      </c>
      <c r="K6" s="35">
        <f>IF(OR(I6="",J6=""),"",IFERROR(VLOOKUP(I6,'99_Lookups'!$A$2:$B$4,2,FALSE),"")*IFERROR(VLOOKUP(J6,'99_Lookups'!$A$2:$B$4,2,FALSE),""))</f>
        <v>6</v>
      </c>
      <c r="L6" s="31" t="str">
        <f>IF(K6="","",IF(K6&lt;=3,"Laag",IF(K6&lt;=6,"Midden","Hoog")))</f>
        <v>Midden</v>
      </c>
      <c r="M6" s="27" t="s">
        <v>284</v>
      </c>
      <c r="N6" s="27" t="s">
        <v>293</v>
      </c>
    </row>
    <row r="7" spans="1:21" ht="43.5">
      <c r="A7" s="9" t="str">
        <f t="shared" si="0"/>
        <v>R6</v>
      </c>
      <c r="B7" s="23" t="s">
        <v>145</v>
      </c>
      <c r="C7" s="27" t="s">
        <v>294</v>
      </c>
      <c r="D7" s="27" t="s">
        <v>295</v>
      </c>
      <c r="E7" s="27" t="s">
        <v>296</v>
      </c>
      <c r="F7" s="27" t="s">
        <v>3</v>
      </c>
      <c r="G7" s="27" t="s">
        <v>4</v>
      </c>
      <c r="H7" s="27" t="s">
        <v>4</v>
      </c>
      <c r="I7" s="27" t="s">
        <v>3</v>
      </c>
      <c r="J7" s="23" t="s">
        <v>4</v>
      </c>
      <c r="K7" s="35">
        <f>IF(OR(I7="",J7=""),"",IFERROR(VLOOKUP(I7,'99_Lookups'!$A$2:$B$4,2,FALSE),"")*IFERROR(VLOOKUP(J7,'99_Lookups'!$A$2:$B$4,2,FALSE),""))</f>
        <v>6</v>
      </c>
      <c r="L7" s="31" t="str">
        <f>IF(K7="","",IF(K7&lt;=3,"Laag",IF(K7&lt;=6,"Midden","Hoog")))</f>
        <v>Midden</v>
      </c>
      <c r="M7" s="27" t="s">
        <v>274</v>
      </c>
      <c r="N7" s="27" t="s">
        <v>297</v>
      </c>
    </row>
    <row r="8" spans="1:21" ht="43.5">
      <c r="A8" s="9" t="str">
        <f t="shared" si="0"/>
        <v>R7</v>
      </c>
      <c r="B8" s="28" t="s">
        <v>89</v>
      </c>
      <c r="C8" s="27" t="s">
        <v>116</v>
      </c>
      <c r="D8" s="27" t="s">
        <v>298</v>
      </c>
      <c r="E8" s="27" t="s">
        <v>299</v>
      </c>
      <c r="F8" s="27" t="s">
        <v>4</v>
      </c>
      <c r="G8" s="27" t="s">
        <v>3</v>
      </c>
      <c r="H8" s="27" t="s">
        <v>3</v>
      </c>
      <c r="I8" s="27" t="s">
        <v>3</v>
      </c>
      <c r="J8" s="23" t="s">
        <v>4</v>
      </c>
      <c r="K8" s="35">
        <f>IF(OR(I8="",J8=""),"",IFERROR(VLOOKUP(I8,'99_Lookups'!$A$2:$B$4,2,FALSE),"")*IFERROR(VLOOKUP(J8,'99_Lookups'!$A$2:$B$4,2,FALSE),""))</f>
        <v>6</v>
      </c>
      <c r="L8" s="31" t="str">
        <f>IF(K8="","",IF(K8&lt;=3,"Laag",IF(K8&lt;=6,"Midden","Hoog")))</f>
        <v>Midden</v>
      </c>
      <c r="M8" s="27" t="s">
        <v>300</v>
      </c>
      <c r="N8" s="27" t="s">
        <v>301</v>
      </c>
    </row>
    <row r="9" spans="1:21" ht="57.75">
      <c r="A9" s="9" t="str">
        <f t="shared" si="0"/>
        <v>R8</v>
      </c>
      <c r="B9" s="28" t="s">
        <v>89</v>
      </c>
      <c r="C9" s="27" t="s">
        <v>125</v>
      </c>
      <c r="D9" s="27" t="s">
        <v>302</v>
      </c>
      <c r="E9" s="27" t="s">
        <v>303</v>
      </c>
      <c r="F9" s="27" t="s">
        <v>4</v>
      </c>
      <c r="G9" s="27" t="s">
        <v>4</v>
      </c>
      <c r="H9" s="27" t="s">
        <v>3</v>
      </c>
      <c r="I9" s="27" t="s">
        <v>3</v>
      </c>
      <c r="J9" s="23" t="s">
        <v>4</v>
      </c>
      <c r="K9" s="35">
        <f>IF(OR(I9="",J9=""),"",IFERROR(VLOOKUP(I9,'99_Lookups'!$A$2:$B$4,2,FALSE),"")*IFERROR(VLOOKUP(J9,'99_Lookups'!$A$2:$B$4,2,FALSE),""))</f>
        <v>6</v>
      </c>
      <c r="L9" s="31" t="str">
        <f>IF(K9="","",IF(K9&lt;=3,"Laag",IF(K9&lt;=6,"Midden","Hoog")))</f>
        <v>Midden</v>
      </c>
      <c r="M9" s="27" t="s">
        <v>300</v>
      </c>
      <c r="N9" s="27" t="s">
        <v>304</v>
      </c>
    </row>
    <row r="10" spans="1:21" ht="43.5">
      <c r="A10" s="9" t="str">
        <f t="shared" si="0"/>
        <v>R9</v>
      </c>
      <c r="B10" s="27" t="s">
        <v>305</v>
      </c>
      <c r="C10" s="27" t="s">
        <v>306</v>
      </c>
      <c r="D10" s="27" t="s">
        <v>307</v>
      </c>
      <c r="E10" s="27" t="s">
        <v>308</v>
      </c>
      <c r="F10" s="27" t="s">
        <v>4</v>
      </c>
      <c r="G10" s="27" t="s">
        <v>4</v>
      </c>
      <c r="H10" s="27" t="s">
        <v>3</v>
      </c>
      <c r="I10" s="27" t="s">
        <v>3</v>
      </c>
      <c r="J10" s="23" t="s">
        <v>4</v>
      </c>
      <c r="K10" s="35">
        <f>IF(OR(I10="",J10=""),"",IFERROR(VLOOKUP(I10,'99_Lookups'!$A$2:$B$4,2,FALSE),"")*IFERROR(VLOOKUP(J10,'99_Lookups'!$A$2:$B$4,2,FALSE),""))</f>
        <v>6</v>
      </c>
      <c r="L10" s="31" t="str">
        <f>IF(K10="","",IF(K10&lt;=3,"Laag",IF(K10&lt;=6,"Midden","Hoog")))</f>
        <v>Midden</v>
      </c>
      <c r="M10" s="27" t="s">
        <v>274</v>
      </c>
      <c r="N10" s="27" t="s">
        <v>309</v>
      </c>
    </row>
    <row r="11" spans="1:21" ht="43.5">
      <c r="A11" s="9" t="str">
        <f t="shared" si="0"/>
        <v>R10</v>
      </c>
      <c r="B11" s="27" t="s">
        <v>305</v>
      </c>
      <c r="C11" s="27" t="s">
        <v>310</v>
      </c>
      <c r="D11" s="27" t="s">
        <v>311</v>
      </c>
      <c r="E11" s="27" t="s">
        <v>312</v>
      </c>
      <c r="F11" s="27" t="s">
        <v>4</v>
      </c>
      <c r="G11" s="27" t="s">
        <v>4</v>
      </c>
      <c r="H11" s="27" t="s">
        <v>4</v>
      </c>
      <c r="I11" s="27" t="s">
        <v>3</v>
      </c>
      <c r="J11" s="23" t="s">
        <v>4</v>
      </c>
      <c r="K11" s="35">
        <f>IF(OR(I11="",J11=""),"",IFERROR(VLOOKUP(I11,'99_Lookups'!$A$2:$B$4,2,FALSE),"")*IFERROR(VLOOKUP(J11,'99_Lookups'!$A$2:$B$4,2,FALSE),""))</f>
        <v>6</v>
      </c>
      <c r="L11" s="31" t="str">
        <f>IF(K11="","",IF(K11&lt;=3,"Laag",IF(K11&lt;=6,"Midden","Hoog")))</f>
        <v>Midden</v>
      </c>
      <c r="M11" s="27" t="s">
        <v>274</v>
      </c>
      <c r="N11" s="27" t="s">
        <v>313</v>
      </c>
    </row>
    <row r="12" spans="1:21" ht="43.5">
      <c r="A12" s="9" t="str">
        <f t="shared" si="0"/>
        <v>R11</v>
      </c>
      <c r="B12" s="27" t="s">
        <v>305</v>
      </c>
      <c r="C12" s="27" t="s">
        <v>314</v>
      </c>
      <c r="D12" s="27" t="s">
        <v>315</v>
      </c>
      <c r="E12" s="27" t="s">
        <v>316</v>
      </c>
      <c r="F12" s="27" t="s">
        <v>4</v>
      </c>
      <c r="G12" s="27" t="s">
        <v>4</v>
      </c>
      <c r="H12" s="27" t="s">
        <v>4</v>
      </c>
      <c r="I12" s="27" t="s">
        <v>4</v>
      </c>
      <c r="J12" s="23" t="s">
        <v>4</v>
      </c>
      <c r="K12" s="35">
        <f>IF(OR(I12="",J12=""),"",IFERROR(VLOOKUP(I12,'99_Lookups'!$A$2:$B$4,2,FALSE),"")*IFERROR(VLOOKUP(J12,'99_Lookups'!$A$2:$B$4,2,FALSE),""))</f>
        <v>9</v>
      </c>
      <c r="L12" s="31" t="str">
        <f>IF(K12="","",IF(K12&lt;=3,"Laag",IF(K12&lt;=6,"Midden","Hoog")))</f>
        <v>Hoog</v>
      </c>
      <c r="M12" s="27" t="s">
        <v>274</v>
      </c>
      <c r="N12" s="27" t="s">
        <v>317</v>
      </c>
    </row>
    <row r="13" spans="1:21" ht="57.75">
      <c r="A13" s="9" t="str">
        <f t="shared" si="0"/>
        <v>R12</v>
      </c>
      <c r="B13" s="23" t="s">
        <v>145</v>
      </c>
      <c r="C13" s="23" t="s">
        <v>318</v>
      </c>
      <c r="D13" s="23" t="s">
        <v>319</v>
      </c>
      <c r="E13" s="23" t="s">
        <v>320</v>
      </c>
      <c r="F13" s="23" t="s">
        <v>4</v>
      </c>
      <c r="G13" s="23" t="s">
        <v>3</v>
      </c>
      <c r="H13" s="23" t="s">
        <v>3</v>
      </c>
      <c r="I13" s="23" t="s">
        <v>3</v>
      </c>
      <c r="J13" s="23" t="s">
        <v>4</v>
      </c>
      <c r="K13" s="35">
        <f>IF(OR(I13="",J13=""),"",IFERROR(VLOOKUP(I13,'99_Lookups'!$A$2:$B$4,2,FALSE),"")*IFERROR(VLOOKUP(J13,'99_Lookups'!$A$2:$B$4,2,FALSE),""))</f>
        <v>6</v>
      </c>
      <c r="L13" s="31" t="str">
        <f>IF(K13="","",IF(K13&lt;=3,"Laag",IF(K13&lt;=6,"Midden","Hoog")))</f>
        <v>Midden</v>
      </c>
      <c r="M13" s="23" t="s">
        <v>321</v>
      </c>
      <c r="N13" s="23" t="s">
        <v>322</v>
      </c>
    </row>
    <row r="14" spans="1:21">
      <c r="A14" s="9" t="str">
        <f t="shared" si="0"/>
        <v/>
      </c>
      <c r="B14" s="8"/>
      <c r="C14" s="7"/>
      <c r="D14" s="7"/>
      <c r="E14" s="7"/>
      <c r="F14" s="8"/>
      <c r="G14" s="8"/>
      <c r="H14" s="8"/>
      <c r="I14" s="8"/>
      <c r="J14" s="8"/>
      <c r="K14" s="10" t="str">
        <f>IF(OR(I14="",J14=""),"",IFERROR(VLOOKUP(I14,'99_Lookups'!$A$2:$B$4,2,FALSE),"")*IFERROR(VLOOKUP(J14,'99_Lookups'!$A$2:$B$4,2,FALSE),""))</f>
        <v/>
      </c>
      <c r="L14" s="5" t="str">
        <f t="shared" ref="L2:L33" si="1">IF(K14="","",IF(K14&lt;=3,"Laag",IF(K14&lt;=6,"Midden","Hoog")))</f>
        <v/>
      </c>
      <c r="M14" s="8"/>
      <c r="N14" s="7"/>
    </row>
    <row r="15" spans="1:21">
      <c r="A15" s="9" t="str">
        <f t="shared" si="0"/>
        <v/>
      </c>
      <c r="B15" s="8"/>
      <c r="C15" s="7"/>
      <c r="D15" s="7"/>
      <c r="E15" s="7"/>
      <c r="F15" s="8"/>
      <c r="G15" s="8"/>
      <c r="H15" s="8"/>
      <c r="I15" s="8"/>
      <c r="J15" s="8"/>
      <c r="K15" s="10" t="str">
        <f>IF(OR(I15="",J15=""),"",IFERROR(VLOOKUP(I15,'99_Lookups'!$A$2:$B$4,2,FALSE),"")*IFERROR(VLOOKUP(J15,'99_Lookups'!$A$2:$B$4,2,FALSE),""))</f>
        <v/>
      </c>
      <c r="L15" s="5" t="str">
        <f t="shared" si="1"/>
        <v/>
      </c>
      <c r="M15" s="8"/>
      <c r="N15" s="7"/>
    </row>
    <row r="16" spans="1:21">
      <c r="A16" s="9" t="str">
        <f t="shared" si="0"/>
        <v/>
      </c>
      <c r="B16" s="8"/>
      <c r="C16" s="7"/>
      <c r="D16" s="7"/>
      <c r="E16" s="7"/>
      <c r="F16" s="8"/>
      <c r="G16" s="8"/>
      <c r="H16" s="8"/>
      <c r="I16" s="8"/>
      <c r="J16" s="8"/>
      <c r="K16" s="10" t="str">
        <f>IF(OR(I16="",J16=""),"",IFERROR(VLOOKUP(I16,'99_Lookups'!$A$2:$B$4,2,FALSE),"")*IFERROR(VLOOKUP(J16,'99_Lookups'!$A$2:$B$4,2,FALSE),""))</f>
        <v/>
      </c>
      <c r="L16" s="5" t="str">
        <f t="shared" si="1"/>
        <v/>
      </c>
      <c r="M16" s="8"/>
      <c r="N16" s="7"/>
    </row>
    <row r="17" spans="1:14">
      <c r="A17" s="9" t="str">
        <f t="shared" si="0"/>
        <v/>
      </c>
      <c r="B17" s="8"/>
      <c r="C17" s="7"/>
      <c r="D17" s="7"/>
      <c r="E17" s="7"/>
      <c r="F17" s="8"/>
      <c r="G17" s="8"/>
      <c r="H17" s="8"/>
      <c r="I17" s="8"/>
      <c r="J17" s="8"/>
      <c r="K17" s="10" t="str">
        <f>IF(OR(I17="",J17=""),"",IFERROR(VLOOKUP(I17,'99_Lookups'!$A$2:$B$4,2,FALSE),"")*IFERROR(VLOOKUP(J17,'99_Lookups'!$A$2:$B$4,2,FALSE),""))</f>
        <v/>
      </c>
      <c r="L17" s="5" t="str">
        <f t="shared" si="1"/>
        <v/>
      </c>
      <c r="M17" s="8"/>
      <c r="N17" s="7"/>
    </row>
    <row r="18" spans="1:14">
      <c r="A18" s="9" t="str">
        <f t="shared" si="0"/>
        <v/>
      </c>
      <c r="B18" s="8"/>
      <c r="C18" s="7"/>
      <c r="D18" s="7"/>
      <c r="E18" s="7"/>
      <c r="F18" s="8"/>
      <c r="G18" s="8"/>
      <c r="H18" s="8"/>
      <c r="I18" s="8"/>
      <c r="J18" s="8"/>
      <c r="K18" s="10" t="str">
        <f>IF(OR(I18="",J18=""),"",IFERROR(VLOOKUP(I18,'99_Lookups'!$A$2:$B$4,2,FALSE),"")*IFERROR(VLOOKUP(J18,'99_Lookups'!$A$2:$B$4,2,FALSE),""))</f>
        <v/>
      </c>
      <c r="L18" s="5" t="str">
        <f t="shared" si="1"/>
        <v/>
      </c>
      <c r="M18" s="8"/>
      <c r="N18" s="7"/>
    </row>
    <row r="19" spans="1:14">
      <c r="A19" s="9" t="str">
        <f t="shared" si="0"/>
        <v/>
      </c>
      <c r="B19" s="8"/>
      <c r="C19" s="7"/>
      <c r="D19" s="7"/>
      <c r="E19" s="7"/>
      <c r="F19" s="8"/>
      <c r="G19" s="8"/>
      <c r="H19" s="8"/>
      <c r="I19" s="8"/>
      <c r="J19" s="8"/>
      <c r="K19" s="10" t="str">
        <f>IF(OR(I19="",J19=""),"",IFERROR(VLOOKUP(I19,'99_Lookups'!$A$2:$B$4,2,FALSE),"")*IFERROR(VLOOKUP(J19,'99_Lookups'!$A$2:$B$4,2,FALSE),""))</f>
        <v/>
      </c>
      <c r="L19" s="5" t="str">
        <f t="shared" si="1"/>
        <v/>
      </c>
      <c r="M19" s="8"/>
      <c r="N19" s="7"/>
    </row>
    <row r="20" spans="1:14">
      <c r="A20" s="9" t="str">
        <f t="shared" si="0"/>
        <v/>
      </c>
      <c r="B20" s="8"/>
      <c r="C20" s="7"/>
      <c r="D20" s="7"/>
      <c r="E20" s="7"/>
      <c r="F20" s="8"/>
      <c r="G20" s="8"/>
      <c r="H20" s="8"/>
      <c r="I20" s="8"/>
      <c r="J20" s="8"/>
      <c r="K20" s="10" t="str">
        <f>IF(OR(I20="",J20=""),"",IFERROR(VLOOKUP(I20,'99_Lookups'!$A$2:$B$4,2,FALSE),"")*IFERROR(VLOOKUP(J20,'99_Lookups'!$A$2:$B$4,2,FALSE),""))</f>
        <v/>
      </c>
      <c r="L20" s="5" t="str">
        <f t="shared" si="1"/>
        <v/>
      </c>
      <c r="M20" s="8"/>
      <c r="N20" s="7"/>
    </row>
    <row r="21" spans="1:14">
      <c r="A21" s="9" t="str">
        <f t="shared" si="0"/>
        <v/>
      </c>
      <c r="B21" s="8"/>
      <c r="C21" s="7"/>
      <c r="D21" s="7"/>
      <c r="E21" s="7"/>
      <c r="F21" s="8"/>
      <c r="G21" s="8"/>
      <c r="H21" s="8"/>
      <c r="I21" s="8"/>
      <c r="J21" s="8"/>
      <c r="K21" s="10" t="str">
        <f>IF(OR(I21="",J21=""),"",IFERROR(VLOOKUP(I21,'99_Lookups'!$A$2:$B$4,2,FALSE),"")*IFERROR(VLOOKUP(J21,'99_Lookups'!$A$2:$B$4,2,FALSE),""))</f>
        <v/>
      </c>
      <c r="L21" s="5" t="str">
        <f t="shared" si="1"/>
        <v/>
      </c>
      <c r="M21" s="8"/>
      <c r="N21" s="7"/>
    </row>
    <row r="22" spans="1:14">
      <c r="A22" s="9" t="str">
        <f t="shared" si="0"/>
        <v/>
      </c>
      <c r="B22" s="8"/>
      <c r="C22" s="7"/>
      <c r="D22" s="7"/>
      <c r="E22" s="7"/>
      <c r="F22" s="8"/>
      <c r="G22" s="8"/>
      <c r="H22" s="8"/>
      <c r="I22" s="8"/>
      <c r="J22" s="8"/>
      <c r="K22" s="10" t="str">
        <f>IF(OR(I22="",J22=""),"",IFERROR(VLOOKUP(I22,'99_Lookups'!$A$2:$B$4,2,FALSE),"")*IFERROR(VLOOKUP(J22,'99_Lookups'!$A$2:$B$4,2,FALSE),""))</f>
        <v/>
      </c>
      <c r="L22" s="5" t="str">
        <f t="shared" si="1"/>
        <v/>
      </c>
      <c r="M22" s="8"/>
      <c r="N22" s="7"/>
    </row>
    <row r="23" spans="1:14">
      <c r="A23" s="9" t="str">
        <f t="shared" si="0"/>
        <v/>
      </c>
      <c r="B23" s="8"/>
      <c r="C23" s="7"/>
      <c r="D23" s="7"/>
      <c r="E23" s="7"/>
      <c r="F23" s="8"/>
      <c r="G23" s="8"/>
      <c r="H23" s="8"/>
      <c r="I23" s="8"/>
      <c r="J23" s="8"/>
      <c r="K23" s="10" t="str">
        <f>IF(OR(I23="",J23=""),"",IFERROR(VLOOKUP(I23,'99_Lookups'!$A$2:$B$4,2,FALSE),"")*IFERROR(VLOOKUP(J23,'99_Lookups'!$A$2:$B$4,2,FALSE),""))</f>
        <v/>
      </c>
      <c r="L23" s="5" t="str">
        <f t="shared" si="1"/>
        <v/>
      </c>
      <c r="M23" s="8"/>
      <c r="N23" s="7"/>
    </row>
    <row r="24" spans="1:14">
      <c r="A24" s="9" t="str">
        <f t="shared" si="0"/>
        <v/>
      </c>
      <c r="B24" s="8"/>
      <c r="C24" s="7"/>
      <c r="D24" s="7"/>
      <c r="E24" s="7"/>
      <c r="F24" s="8"/>
      <c r="G24" s="8"/>
      <c r="H24" s="8"/>
      <c r="I24" s="8"/>
      <c r="J24" s="8"/>
      <c r="K24" s="10" t="str">
        <f>IF(OR(I24="",J24=""),"",IFERROR(VLOOKUP(I24,'99_Lookups'!$A$2:$B$4,2,FALSE),"")*IFERROR(VLOOKUP(J24,'99_Lookups'!$A$2:$B$4,2,FALSE),""))</f>
        <v/>
      </c>
      <c r="L24" s="5" t="str">
        <f t="shared" si="1"/>
        <v/>
      </c>
      <c r="M24" s="8"/>
      <c r="N24" s="7"/>
    </row>
    <row r="25" spans="1:14">
      <c r="A25" s="9" t="str">
        <f t="shared" si="0"/>
        <v/>
      </c>
      <c r="B25" s="8"/>
      <c r="C25" s="7"/>
      <c r="D25" s="7"/>
      <c r="E25" s="7"/>
      <c r="F25" s="8"/>
      <c r="G25" s="8"/>
      <c r="H25" s="8"/>
      <c r="I25" s="8"/>
      <c r="J25" s="8"/>
      <c r="K25" s="10" t="str">
        <f>IF(OR(I25="",J25=""),"",IFERROR(VLOOKUP(I25,'99_Lookups'!$A$2:$B$4,2,FALSE),"")*IFERROR(VLOOKUP(J25,'99_Lookups'!$A$2:$B$4,2,FALSE),""))</f>
        <v/>
      </c>
      <c r="L25" s="5" t="str">
        <f t="shared" si="1"/>
        <v/>
      </c>
      <c r="M25" s="8"/>
      <c r="N25" s="7"/>
    </row>
    <row r="26" spans="1:14">
      <c r="A26" s="9" t="str">
        <f t="shared" si="0"/>
        <v/>
      </c>
      <c r="B26" s="8"/>
      <c r="C26" s="7"/>
      <c r="D26" s="7"/>
      <c r="E26" s="7"/>
      <c r="F26" s="8"/>
      <c r="G26" s="8"/>
      <c r="H26" s="8"/>
      <c r="I26" s="8"/>
      <c r="J26" s="8"/>
      <c r="K26" s="10" t="str">
        <f>IF(OR(I26="",J26=""),"",IFERROR(VLOOKUP(I26,'99_Lookups'!$A$2:$B$4,2,FALSE),"")*IFERROR(VLOOKUP(J26,'99_Lookups'!$A$2:$B$4,2,FALSE),""))</f>
        <v/>
      </c>
      <c r="L26" s="5" t="str">
        <f t="shared" si="1"/>
        <v/>
      </c>
      <c r="M26" s="8"/>
      <c r="N26" s="7"/>
    </row>
    <row r="27" spans="1:14">
      <c r="A27" s="9" t="str">
        <f t="shared" si="0"/>
        <v/>
      </c>
      <c r="B27" s="8"/>
      <c r="C27" s="7"/>
      <c r="D27" s="7"/>
      <c r="E27" s="7"/>
      <c r="F27" s="8"/>
      <c r="G27" s="8"/>
      <c r="H27" s="8"/>
      <c r="I27" s="8"/>
      <c r="J27" s="8"/>
      <c r="K27" s="10" t="str">
        <f>IF(OR(I27="",J27=""),"",IFERROR(VLOOKUP(I27,'99_Lookups'!$A$2:$B$4,2,FALSE),"")*IFERROR(VLOOKUP(J27,'99_Lookups'!$A$2:$B$4,2,FALSE),""))</f>
        <v/>
      </c>
      <c r="L27" s="5" t="str">
        <f t="shared" si="1"/>
        <v/>
      </c>
      <c r="M27" s="8"/>
      <c r="N27" s="7"/>
    </row>
    <row r="28" spans="1:14">
      <c r="A28" s="9" t="str">
        <f t="shared" si="0"/>
        <v/>
      </c>
      <c r="B28" s="8"/>
      <c r="C28" s="7"/>
      <c r="D28" s="7"/>
      <c r="E28" s="7"/>
      <c r="F28" s="8"/>
      <c r="G28" s="8"/>
      <c r="H28" s="8"/>
      <c r="I28" s="8"/>
      <c r="J28" s="8"/>
      <c r="K28" s="10" t="str">
        <f>IF(OR(I28="",J28=""),"",IFERROR(VLOOKUP(I28,'99_Lookups'!$A$2:$B$4,2,FALSE),"")*IFERROR(VLOOKUP(J28,'99_Lookups'!$A$2:$B$4,2,FALSE),""))</f>
        <v/>
      </c>
      <c r="L28" s="5" t="str">
        <f t="shared" si="1"/>
        <v/>
      </c>
      <c r="M28" s="8"/>
      <c r="N28" s="7"/>
    </row>
    <row r="29" spans="1:14">
      <c r="A29" s="9" t="str">
        <f t="shared" si="0"/>
        <v/>
      </c>
      <c r="B29" s="8"/>
      <c r="C29" s="7"/>
      <c r="D29" s="7"/>
      <c r="E29" s="7"/>
      <c r="F29" s="8"/>
      <c r="G29" s="8"/>
      <c r="H29" s="8"/>
      <c r="I29" s="8"/>
      <c r="J29" s="8"/>
      <c r="K29" s="10" t="str">
        <f>IF(OR(I29="",J29=""),"",IFERROR(VLOOKUP(I29,'99_Lookups'!$A$2:$B$4,2,FALSE),"")*IFERROR(VLOOKUP(J29,'99_Lookups'!$A$2:$B$4,2,FALSE),""))</f>
        <v/>
      </c>
      <c r="L29" s="5" t="str">
        <f t="shared" si="1"/>
        <v/>
      </c>
      <c r="M29" s="8"/>
      <c r="N29" s="7"/>
    </row>
    <row r="30" spans="1:14">
      <c r="A30" s="9" t="str">
        <f t="shared" si="0"/>
        <v/>
      </c>
      <c r="B30" s="8"/>
      <c r="C30" s="7"/>
      <c r="D30" s="7"/>
      <c r="E30" s="7"/>
      <c r="F30" s="8"/>
      <c r="G30" s="8"/>
      <c r="H30" s="8"/>
      <c r="I30" s="8"/>
      <c r="J30" s="8"/>
      <c r="K30" s="10" t="str">
        <f>IF(OR(I30="",J30=""),"",IFERROR(VLOOKUP(I30,'99_Lookups'!$A$2:$B$4,2,FALSE),"")*IFERROR(VLOOKUP(J30,'99_Lookups'!$A$2:$B$4,2,FALSE),""))</f>
        <v/>
      </c>
      <c r="L30" s="5" t="str">
        <f t="shared" si="1"/>
        <v/>
      </c>
      <c r="M30" s="8"/>
      <c r="N30" s="7"/>
    </row>
    <row r="31" spans="1:14">
      <c r="A31" s="9" t="str">
        <f t="shared" si="0"/>
        <v/>
      </c>
      <c r="B31" s="8"/>
      <c r="C31" s="7"/>
      <c r="D31" s="7"/>
      <c r="E31" s="7"/>
      <c r="F31" s="8"/>
      <c r="G31" s="8"/>
      <c r="H31" s="8"/>
      <c r="I31" s="8"/>
      <c r="J31" s="8"/>
      <c r="K31" s="10" t="str">
        <f>IF(OR(I31="",J31=""),"",IFERROR(VLOOKUP(I31,'99_Lookups'!$A$2:$B$4,2,FALSE),"")*IFERROR(VLOOKUP(J31,'99_Lookups'!$A$2:$B$4,2,FALSE),""))</f>
        <v/>
      </c>
      <c r="L31" s="5" t="str">
        <f t="shared" si="1"/>
        <v/>
      </c>
      <c r="M31" s="8"/>
      <c r="N31" s="7"/>
    </row>
    <row r="32" spans="1:14">
      <c r="A32" s="9" t="str">
        <f t="shared" si="0"/>
        <v/>
      </c>
      <c r="B32" s="8"/>
      <c r="C32" s="7"/>
      <c r="D32" s="7"/>
      <c r="E32" s="7"/>
      <c r="F32" s="8"/>
      <c r="G32" s="8"/>
      <c r="H32" s="8"/>
      <c r="I32" s="8"/>
      <c r="J32" s="8"/>
      <c r="K32" s="10" t="str">
        <f>IF(OR(I32="",J32=""),"",IFERROR(VLOOKUP(I32,'99_Lookups'!$A$2:$B$4,2,FALSE),"")*IFERROR(VLOOKUP(J32,'99_Lookups'!$A$2:$B$4,2,FALSE),""))</f>
        <v/>
      </c>
      <c r="L32" s="5" t="str">
        <f t="shared" si="1"/>
        <v/>
      </c>
      <c r="M32" s="8"/>
      <c r="N32" s="7"/>
    </row>
    <row r="33" spans="1:14">
      <c r="A33" s="9" t="str">
        <f t="shared" si="0"/>
        <v/>
      </c>
      <c r="B33" s="8"/>
      <c r="C33" s="7"/>
      <c r="D33" s="7"/>
      <c r="E33" s="7"/>
      <c r="F33" s="8"/>
      <c r="G33" s="8"/>
      <c r="H33" s="8"/>
      <c r="I33" s="8"/>
      <c r="J33" s="8"/>
      <c r="K33" s="10" t="str">
        <f>IF(OR(I33="",J33=""),"",IFERROR(VLOOKUP(I33,'99_Lookups'!$A$2:$B$4,2,FALSE),"")*IFERROR(VLOOKUP(J33,'99_Lookups'!$A$2:$B$4,2,FALSE),""))</f>
        <v/>
      </c>
      <c r="L33" s="5" t="str">
        <f t="shared" si="1"/>
        <v/>
      </c>
      <c r="M33" s="8"/>
      <c r="N33" s="7"/>
    </row>
    <row r="34" spans="1:14">
      <c r="A34" s="9" t="str">
        <f t="shared" ref="A34:A65" si="2">IF(COUNTA(C34:E34)&gt;0,"R"&amp;ROW()-1,"")</f>
        <v/>
      </c>
      <c r="B34" s="8"/>
      <c r="C34" s="7"/>
      <c r="D34" s="7"/>
      <c r="E34" s="7"/>
      <c r="F34" s="8"/>
      <c r="G34" s="8"/>
      <c r="H34" s="8"/>
      <c r="I34" s="8"/>
      <c r="J34" s="8"/>
      <c r="K34" s="10" t="str">
        <f>IF(OR(I34="",J34=""),"",IFERROR(VLOOKUP(I34,'99_Lookups'!$A$2:$B$4,2,FALSE),"")*IFERROR(VLOOKUP(J34,'99_Lookups'!$A$2:$B$4,2,FALSE),""))</f>
        <v/>
      </c>
      <c r="L34" s="5" t="str">
        <f t="shared" ref="L34:L65" si="3">IF(K34="","",IF(K34&lt;=3,"Laag",IF(K34&lt;=6,"Midden","Hoog")))</f>
        <v/>
      </c>
      <c r="M34" s="8"/>
      <c r="N34" s="7"/>
    </row>
    <row r="35" spans="1:14">
      <c r="A35" s="9" t="str">
        <f t="shared" si="2"/>
        <v/>
      </c>
      <c r="B35" s="8"/>
      <c r="C35" s="7"/>
      <c r="D35" s="7"/>
      <c r="E35" s="7"/>
      <c r="F35" s="8"/>
      <c r="G35" s="8"/>
      <c r="H35" s="8"/>
      <c r="I35" s="8"/>
      <c r="J35" s="8"/>
      <c r="K35" s="10" t="str">
        <f>IF(OR(I35="",J35=""),"",IFERROR(VLOOKUP(I35,'99_Lookups'!$A$2:$B$4,2,FALSE),"")*IFERROR(VLOOKUP(J35,'99_Lookups'!$A$2:$B$4,2,FALSE),""))</f>
        <v/>
      </c>
      <c r="L35" s="5" t="str">
        <f t="shared" si="3"/>
        <v/>
      </c>
      <c r="M35" s="8"/>
      <c r="N35" s="7"/>
    </row>
    <row r="36" spans="1:14">
      <c r="A36" s="9" t="str">
        <f t="shared" si="2"/>
        <v/>
      </c>
      <c r="B36" s="8"/>
      <c r="C36" s="7"/>
      <c r="D36" s="7"/>
      <c r="E36" s="7"/>
      <c r="F36" s="8"/>
      <c r="G36" s="8"/>
      <c r="H36" s="8"/>
      <c r="I36" s="8"/>
      <c r="J36" s="8"/>
      <c r="K36" s="10" t="str">
        <f>IF(OR(I36="",J36=""),"",IFERROR(VLOOKUP(I36,'99_Lookups'!$A$2:$B$4,2,FALSE),"")*IFERROR(VLOOKUP(J36,'99_Lookups'!$A$2:$B$4,2,FALSE),""))</f>
        <v/>
      </c>
      <c r="L36" s="5" t="str">
        <f t="shared" si="3"/>
        <v/>
      </c>
      <c r="M36" s="8"/>
      <c r="N36" s="7"/>
    </row>
    <row r="37" spans="1:14">
      <c r="A37" s="9" t="str">
        <f t="shared" si="2"/>
        <v/>
      </c>
      <c r="B37" s="8"/>
      <c r="C37" s="7"/>
      <c r="D37" s="7"/>
      <c r="E37" s="7"/>
      <c r="F37" s="8"/>
      <c r="G37" s="8"/>
      <c r="H37" s="8"/>
      <c r="I37" s="8"/>
      <c r="J37" s="8"/>
      <c r="K37" s="10" t="str">
        <f>IF(OR(I37="",J37=""),"",IFERROR(VLOOKUP(I37,'99_Lookups'!$A$2:$B$4,2,FALSE),"")*IFERROR(VLOOKUP(J37,'99_Lookups'!$A$2:$B$4,2,FALSE),""))</f>
        <v/>
      </c>
      <c r="L37" s="5" t="str">
        <f t="shared" si="3"/>
        <v/>
      </c>
      <c r="M37" s="8"/>
      <c r="N37" s="7"/>
    </row>
    <row r="38" spans="1:14">
      <c r="A38" s="9" t="str">
        <f t="shared" si="2"/>
        <v/>
      </c>
      <c r="B38" s="8"/>
      <c r="C38" s="7"/>
      <c r="D38" s="7"/>
      <c r="E38" s="7"/>
      <c r="F38" s="8"/>
      <c r="G38" s="8"/>
      <c r="H38" s="8"/>
      <c r="I38" s="8"/>
      <c r="J38" s="8"/>
      <c r="K38" s="10" t="str">
        <f>IF(OR(I38="",J38=""),"",IFERROR(VLOOKUP(I38,'99_Lookups'!$A$2:$B$4,2,FALSE),"")*IFERROR(VLOOKUP(J38,'99_Lookups'!$A$2:$B$4,2,FALSE),""))</f>
        <v/>
      </c>
      <c r="L38" s="5" t="str">
        <f t="shared" si="3"/>
        <v/>
      </c>
      <c r="M38" s="8"/>
      <c r="N38" s="7"/>
    </row>
    <row r="39" spans="1:14">
      <c r="A39" s="9" t="str">
        <f t="shared" si="2"/>
        <v/>
      </c>
      <c r="B39" s="8"/>
      <c r="C39" s="7"/>
      <c r="D39" s="7"/>
      <c r="E39" s="7"/>
      <c r="F39" s="8"/>
      <c r="G39" s="8"/>
      <c r="H39" s="8"/>
      <c r="I39" s="8"/>
      <c r="J39" s="8"/>
      <c r="K39" s="10" t="str">
        <f>IF(OR(I39="",J39=""),"",IFERROR(VLOOKUP(I39,'99_Lookups'!$A$2:$B$4,2,FALSE),"")*IFERROR(VLOOKUP(J39,'99_Lookups'!$A$2:$B$4,2,FALSE),""))</f>
        <v/>
      </c>
      <c r="L39" s="5" t="str">
        <f t="shared" si="3"/>
        <v/>
      </c>
      <c r="M39" s="8"/>
      <c r="N39" s="7"/>
    </row>
    <row r="40" spans="1:14">
      <c r="A40" s="9" t="str">
        <f t="shared" si="2"/>
        <v/>
      </c>
      <c r="B40" s="8"/>
      <c r="C40" s="7"/>
      <c r="D40" s="7"/>
      <c r="E40" s="7"/>
      <c r="F40" s="8"/>
      <c r="G40" s="8"/>
      <c r="H40" s="8"/>
      <c r="I40" s="8"/>
      <c r="J40" s="8"/>
      <c r="K40" s="10" t="str">
        <f>IF(OR(I40="",J40=""),"",IFERROR(VLOOKUP(I40,'99_Lookups'!$A$2:$B$4,2,FALSE),"")*IFERROR(VLOOKUP(J40,'99_Lookups'!$A$2:$B$4,2,FALSE),""))</f>
        <v/>
      </c>
      <c r="L40" s="5" t="str">
        <f t="shared" si="3"/>
        <v/>
      </c>
      <c r="M40" s="8"/>
      <c r="N40" s="7"/>
    </row>
    <row r="41" spans="1:14">
      <c r="A41" s="9" t="str">
        <f t="shared" si="2"/>
        <v/>
      </c>
      <c r="B41" s="8"/>
      <c r="C41" s="7"/>
      <c r="D41" s="7"/>
      <c r="E41" s="7"/>
      <c r="F41" s="8"/>
      <c r="G41" s="8"/>
      <c r="H41" s="8"/>
      <c r="I41" s="8"/>
      <c r="J41" s="8"/>
      <c r="K41" s="10" t="str">
        <f>IF(OR(I41="",J41=""),"",IFERROR(VLOOKUP(I41,'99_Lookups'!$A$2:$B$4,2,FALSE),"")*IFERROR(VLOOKUP(J41,'99_Lookups'!$A$2:$B$4,2,FALSE),""))</f>
        <v/>
      </c>
      <c r="L41" s="5" t="str">
        <f t="shared" si="3"/>
        <v/>
      </c>
      <c r="M41" s="8"/>
      <c r="N41" s="7"/>
    </row>
    <row r="42" spans="1:14">
      <c r="A42" s="9" t="str">
        <f t="shared" si="2"/>
        <v/>
      </c>
      <c r="B42" s="8"/>
      <c r="C42" s="7"/>
      <c r="D42" s="7"/>
      <c r="E42" s="7"/>
      <c r="F42" s="8"/>
      <c r="G42" s="8"/>
      <c r="H42" s="8"/>
      <c r="I42" s="8"/>
      <c r="J42" s="8"/>
      <c r="K42" s="10" t="str">
        <f>IF(OR(I42="",J42=""),"",IFERROR(VLOOKUP(I42,'99_Lookups'!$A$2:$B$4,2,FALSE),"")*IFERROR(VLOOKUP(J42,'99_Lookups'!$A$2:$B$4,2,FALSE),""))</f>
        <v/>
      </c>
      <c r="L42" s="5" t="str">
        <f t="shared" si="3"/>
        <v/>
      </c>
      <c r="M42" s="8"/>
      <c r="N42" s="7"/>
    </row>
    <row r="43" spans="1:14">
      <c r="A43" s="9" t="str">
        <f t="shared" si="2"/>
        <v/>
      </c>
      <c r="B43" s="8"/>
      <c r="C43" s="7"/>
      <c r="D43" s="7"/>
      <c r="E43" s="7"/>
      <c r="F43" s="8"/>
      <c r="G43" s="8"/>
      <c r="H43" s="8"/>
      <c r="I43" s="8"/>
      <c r="J43" s="8"/>
      <c r="K43" s="10" t="str">
        <f>IF(OR(I43="",J43=""),"",IFERROR(VLOOKUP(I43,'99_Lookups'!$A$2:$B$4,2,FALSE),"")*IFERROR(VLOOKUP(J43,'99_Lookups'!$A$2:$B$4,2,FALSE),""))</f>
        <v/>
      </c>
      <c r="L43" s="5" t="str">
        <f t="shared" si="3"/>
        <v/>
      </c>
      <c r="M43" s="8"/>
      <c r="N43" s="7"/>
    </row>
    <row r="44" spans="1:14">
      <c r="A44" s="9" t="str">
        <f t="shared" si="2"/>
        <v/>
      </c>
      <c r="B44" s="8"/>
      <c r="C44" s="7"/>
      <c r="D44" s="7"/>
      <c r="E44" s="7"/>
      <c r="F44" s="8"/>
      <c r="G44" s="8"/>
      <c r="H44" s="8"/>
      <c r="I44" s="8"/>
      <c r="J44" s="8"/>
      <c r="K44" s="10" t="str">
        <f>IF(OR(I44="",J44=""),"",IFERROR(VLOOKUP(I44,'99_Lookups'!$A$2:$B$4,2,FALSE),"")*IFERROR(VLOOKUP(J44,'99_Lookups'!$A$2:$B$4,2,FALSE),""))</f>
        <v/>
      </c>
      <c r="L44" s="5" t="str">
        <f t="shared" si="3"/>
        <v/>
      </c>
      <c r="M44" s="8"/>
      <c r="N44" s="7"/>
    </row>
    <row r="45" spans="1:14">
      <c r="A45" s="9" t="str">
        <f t="shared" si="2"/>
        <v/>
      </c>
      <c r="B45" s="8"/>
      <c r="C45" s="7"/>
      <c r="D45" s="7"/>
      <c r="E45" s="7"/>
      <c r="F45" s="8"/>
      <c r="G45" s="8"/>
      <c r="H45" s="8"/>
      <c r="I45" s="8"/>
      <c r="J45" s="8"/>
      <c r="K45" s="10" t="str">
        <f>IF(OR(I45="",J45=""),"",IFERROR(VLOOKUP(I45,'99_Lookups'!$A$2:$B$4,2,FALSE),"")*IFERROR(VLOOKUP(J45,'99_Lookups'!$A$2:$B$4,2,FALSE),""))</f>
        <v/>
      </c>
      <c r="L45" s="5" t="str">
        <f t="shared" si="3"/>
        <v/>
      </c>
      <c r="M45" s="8"/>
      <c r="N45" s="7"/>
    </row>
    <row r="46" spans="1:14">
      <c r="A46" s="9" t="str">
        <f t="shared" si="2"/>
        <v/>
      </c>
      <c r="B46" s="8"/>
      <c r="C46" s="7"/>
      <c r="D46" s="7"/>
      <c r="E46" s="7"/>
      <c r="F46" s="8"/>
      <c r="G46" s="8"/>
      <c r="H46" s="8"/>
      <c r="I46" s="8"/>
      <c r="J46" s="8"/>
      <c r="K46" s="10" t="str">
        <f>IF(OR(I46="",J46=""),"",IFERROR(VLOOKUP(I46,'99_Lookups'!$A$2:$B$4,2,FALSE),"")*IFERROR(VLOOKUP(J46,'99_Lookups'!$A$2:$B$4,2,FALSE),""))</f>
        <v/>
      </c>
      <c r="L46" s="5" t="str">
        <f t="shared" si="3"/>
        <v/>
      </c>
      <c r="M46" s="8"/>
      <c r="N46" s="7"/>
    </row>
    <row r="47" spans="1:14">
      <c r="A47" s="9" t="str">
        <f t="shared" si="2"/>
        <v/>
      </c>
      <c r="B47" s="8"/>
      <c r="C47" s="7"/>
      <c r="D47" s="7"/>
      <c r="E47" s="7"/>
      <c r="F47" s="8"/>
      <c r="G47" s="8"/>
      <c r="H47" s="8"/>
      <c r="I47" s="8"/>
      <c r="J47" s="8"/>
      <c r="K47" s="10" t="str">
        <f>IF(OR(I47="",J47=""),"",IFERROR(VLOOKUP(I47,'99_Lookups'!$A$2:$B$4,2,FALSE),"")*IFERROR(VLOOKUP(J47,'99_Lookups'!$A$2:$B$4,2,FALSE),""))</f>
        <v/>
      </c>
      <c r="L47" s="5" t="str">
        <f t="shared" si="3"/>
        <v/>
      </c>
      <c r="M47" s="8"/>
      <c r="N47" s="7"/>
    </row>
    <row r="48" spans="1:14">
      <c r="A48" s="9" t="str">
        <f t="shared" si="2"/>
        <v/>
      </c>
      <c r="B48" s="8"/>
      <c r="C48" s="7"/>
      <c r="D48" s="7"/>
      <c r="E48" s="7"/>
      <c r="F48" s="8"/>
      <c r="G48" s="8"/>
      <c r="H48" s="8"/>
      <c r="I48" s="8"/>
      <c r="J48" s="8"/>
      <c r="K48" s="10" t="str">
        <f>IF(OR(I48="",J48=""),"",IFERROR(VLOOKUP(I48,'99_Lookups'!$A$2:$B$4,2,FALSE),"")*IFERROR(VLOOKUP(J48,'99_Lookups'!$A$2:$B$4,2,FALSE),""))</f>
        <v/>
      </c>
      <c r="L48" s="5" t="str">
        <f t="shared" si="3"/>
        <v/>
      </c>
      <c r="M48" s="8"/>
      <c r="N48" s="7"/>
    </row>
    <row r="49" spans="1:14">
      <c r="A49" s="9" t="str">
        <f t="shared" si="2"/>
        <v/>
      </c>
      <c r="B49" s="8"/>
      <c r="C49" s="7"/>
      <c r="D49" s="7"/>
      <c r="E49" s="7"/>
      <c r="F49" s="8"/>
      <c r="G49" s="8"/>
      <c r="H49" s="8"/>
      <c r="I49" s="8"/>
      <c r="J49" s="8"/>
      <c r="K49" s="10" t="str">
        <f>IF(OR(I49="",J49=""),"",IFERROR(VLOOKUP(I49,'99_Lookups'!$A$2:$B$4,2,FALSE),"")*IFERROR(VLOOKUP(J49,'99_Lookups'!$A$2:$B$4,2,FALSE),""))</f>
        <v/>
      </c>
      <c r="L49" s="5" t="str">
        <f t="shared" si="3"/>
        <v/>
      </c>
      <c r="M49" s="8"/>
      <c r="N49" s="7"/>
    </row>
    <row r="50" spans="1:14">
      <c r="A50" s="9" t="str">
        <f t="shared" si="2"/>
        <v/>
      </c>
      <c r="B50" s="8"/>
      <c r="C50" s="7"/>
      <c r="D50" s="7"/>
      <c r="E50" s="7"/>
      <c r="F50" s="8"/>
      <c r="G50" s="8"/>
      <c r="H50" s="8"/>
      <c r="I50" s="8"/>
      <c r="J50" s="8"/>
      <c r="K50" s="10" t="str">
        <f>IF(OR(I50="",J50=""),"",IFERROR(VLOOKUP(I50,'99_Lookups'!$A$2:$B$4,2,FALSE),"")*IFERROR(VLOOKUP(J50,'99_Lookups'!$A$2:$B$4,2,FALSE),""))</f>
        <v/>
      </c>
      <c r="L50" s="5" t="str">
        <f t="shared" si="3"/>
        <v/>
      </c>
      <c r="M50" s="8"/>
      <c r="N50" s="7"/>
    </row>
    <row r="51" spans="1:14">
      <c r="A51" s="9" t="str">
        <f t="shared" si="2"/>
        <v/>
      </c>
      <c r="B51" s="8"/>
      <c r="C51" s="7"/>
      <c r="D51" s="7"/>
      <c r="E51" s="7"/>
      <c r="F51" s="8"/>
      <c r="G51" s="8"/>
      <c r="H51" s="8"/>
      <c r="I51" s="8"/>
      <c r="J51" s="8"/>
      <c r="K51" s="10" t="str">
        <f>IF(OR(I51="",J51=""),"",IFERROR(VLOOKUP(I51,'99_Lookups'!$A$2:$B$4,2,FALSE),"")*IFERROR(VLOOKUP(J51,'99_Lookups'!$A$2:$B$4,2,FALSE),""))</f>
        <v/>
      </c>
      <c r="L51" s="5" t="str">
        <f t="shared" si="3"/>
        <v/>
      </c>
      <c r="M51" s="8"/>
      <c r="N51" s="7"/>
    </row>
    <row r="52" spans="1:14">
      <c r="A52" s="9" t="str">
        <f t="shared" si="2"/>
        <v/>
      </c>
      <c r="B52" s="8"/>
      <c r="C52" s="7"/>
      <c r="D52" s="7"/>
      <c r="E52" s="7"/>
      <c r="F52" s="8"/>
      <c r="G52" s="8"/>
      <c r="H52" s="8"/>
      <c r="I52" s="8"/>
      <c r="J52" s="8"/>
      <c r="K52" s="10" t="str">
        <f>IF(OR(I52="",J52=""),"",IFERROR(VLOOKUP(I52,'99_Lookups'!$A$2:$B$4,2,FALSE),"")*IFERROR(VLOOKUP(J52,'99_Lookups'!$A$2:$B$4,2,FALSE),""))</f>
        <v/>
      </c>
      <c r="L52" s="5" t="str">
        <f t="shared" si="3"/>
        <v/>
      </c>
      <c r="M52" s="8"/>
      <c r="N52" s="7"/>
    </row>
    <row r="53" spans="1:14">
      <c r="A53" s="9" t="str">
        <f t="shared" si="2"/>
        <v/>
      </c>
      <c r="B53" s="8"/>
      <c r="C53" s="7"/>
      <c r="D53" s="7"/>
      <c r="E53" s="7"/>
      <c r="F53" s="8"/>
      <c r="G53" s="8"/>
      <c r="H53" s="8"/>
      <c r="I53" s="8"/>
      <c r="J53" s="8"/>
      <c r="K53" s="10" t="str">
        <f>IF(OR(I53="",J53=""),"",IFERROR(VLOOKUP(I53,'99_Lookups'!$A$2:$B$4,2,FALSE),"")*IFERROR(VLOOKUP(J53,'99_Lookups'!$A$2:$B$4,2,FALSE),""))</f>
        <v/>
      </c>
      <c r="L53" s="5" t="str">
        <f t="shared" si="3"/>
        <v/>
      </c>
      <c r="M53" s="8"/>
      <c r="N53" s="7"/>
    </row>
    <row r="54" spans="1:14">
      <c r="A54" s="9" t="str">
        <f t="shared" si="2"/>
        <v/>
      </c>
      <c r="B54" s="8"/>
      <c r="C54" s="7"/>
      <c r="D54" s="7"/>
      <c r="E54" s="7"/>
      <c r="F54" s="8"/>
      <c r="G54" s="8"/>
      <c r="H54" s="8"/>
      <c r="I54" s="8"/>
      <c r="J54" s="8"/>
      <c r="K54" s="10" t="str">
        <f>IF(OR(I54="",J54=""),"",IFERROR(VLOOKUP(I54,'99_Lookups'!$A$2:$B$4,2,FALSE),"")*IFERROR(VLOOKUP(J54,'99_Lookups'!$A$2:$B$4,2,FALSE),""))</f>
        <v/>
      </c>
      <c r="L54" s="5" t="str">
        <f t="shared" si="3"/>
        <v/>
      </c>
      <c r="M54" s="8"/>
      <c r="N54" s="7"/>
    </row>
    <row r="55" spans="1:14">
      <c r="A55" s="9" t="str">
        <f t="shared" si="2"/>
        <v/>
      </c>
      <c r="B55" s="8"/>
      <c r="C55" s="7"/>
      <c r="D55" s="7"/>
      <c r="E55" s="7"/>
      <c r="F55" s="8"/>
      <c r="G55" s="8"/>
      <c r="H55" s="8"/>
      <c r="I55" s="8"/>
      <c r="J55" s="8"/>
      <c r="K55" s="10" t="str">
        <f>IF(OR(I55="",J55=""),"",IFERROR(VLOOKUP(I55,'99_Lookups'!$A$2:$B$4,2,FALSE),"")*IFERROR(VLOOKUP(J55,'99_Lookups'!$A$2:$B$4,2,FALSE),""))</f>
        <v/>
      </c>
      <c r="L55" s="5" t="str">
        <f t="shared" si="3"/>
        <v/>
      </c>
      <c r="M55" s="8"/>
      <c r="N55" s="7"/>
    </row>
    <row r="56" spans="1:14">
      <c r="A56" s="9" t="str">
        <f t="shared" si="2"/>
        <v/>
      </c>
      <c r="B56" s="8"/>
      <c r="C56" s="7"/>
      <c r="D56" s="7"/>
      <c r="E56" s="7"/>
      <c r="F56" s="8"/>
      <c r="G56" s="8"/>
      <c r="H56" s="8"/>
      <c r="I56" s="8"/>
      <c r="J56" s="8"/>
      <c r="K56" s="10" t="str">
        <f>IF(OR(I56="",J56=""),"",IFERROR(VLOOKUP(I56,'99_Lookups'!$A$2:$B$4,2,FALSE),"")*IFERROR(VLOOKUP(J56,'99_Lookups'!$A$2:$B$4,2,FALSE),""))</f>
        <v/>
      </c>
      <c r="L56" s="5" t="str">
        <f t="shared" si="3"/>
        <v/>
      </c>
      <c r="M56" s="8"/>
      <c r="N56" s="7"/>
    </row>
    <row r="57" spans="1:14">
      <c r="A57" s="9" t="str">
        <f t="shared" si="2"/>
        <v/>
      </c>
      <c r="B57" s="8"/>
      <c r="C57" s="7"/>
      <c r="D57" s="7"/>
      <c r="E57" s="7"/>
      <c r="F57" s="8"/>
      <c r="G57" s="8"/>
      <c r="H57" s="8"/>
      <c r="I57" s="8"/>
      <c r="J57" s="8"/>
      <c r="K57" s="10" t="str">
        <f>IF(OR(I57="",J57=""),"",IFERROR(VLOOKUP(I57,'99_Lookups'!$A$2:$B$4,2,FALSE),"")*IFERROR(VLOOKUP(J57,'99_Lookups'!$A$2:$B$4,2,FALSE),""))</f>
        <v/>
      </c>
      <c r="L57" s="5" t="str">
        <f t="shared" si="3"/>
        <v/>
      </c>
      <c r="M57" s="8"/>
      <c r="N57" s="7"/>
    </row>
    <row r="58" spans="1:14">
      <c r="A58" s="9" t="str">
        <f t="shared" si="2"/>
        <v/>
      </c>
      <c r="B58" s="8"/>
      <c r="C58" s="7"/>
      <c r="D58" s="7"/>
      <c r="E58" s="7"/>
      <c r="F58" s="8"/>
      <c r="G58" s="8"/>
      <c r="H58" s="8"/>
      <c r="I58" s="8"/>
      <c r="J58" s="8"/>
      <c r="K58" s="10" t="str">
        <f>IF(OR(I58="",J58=""),"",IFERROR(VLOOKUP(I58,'99_Lookups'!$A$2:$B$4,2,FALSE),"")*IFERROR(VLOOKUP(J58,'99_Lookups'!$A$2:$B$4,2,FALSE),""))</f>
        <v/>
      </c>
      <c r="L58" s="5" t="str">
        <f t="shared" si="3"/>
        <v/>
      </c>
      <c r="M58" s="8"/>
      <c r="N58" s="7"/>
    </row>
    <row r="59" spans="1:14">
      <c r="A59" s="9" t="str">
        <f t="shared" si="2"/>
        <v/>
      </c>
      <c r="B59" s="8"/>
      <c r="C59" s="7"/>
      <c r="D59" s="7"/>
      <c r="E59" s="7"/>
      <c r="F59" s="8"/>
      <c r="G59" s="8"/>
      <c r="H59" s="8"/>
      <c r="I59" s="8"/>
      <c r="J59" s="8"/>
      <c r="K59" s="10" t="str">
        <f>IF(OR(I59="",J59=""),"",IFERROR(VLOOKUP(I59,'99_Lookups'!$A$2:$B$4,2,FALSE),"")*IFERROR(VLOOKUP(J59,'99_Lookups'!$A$2:$B$4,2,FALSE),""))</f>
        <v/>
      </c>
      <c r="L59" s="5" t="str">
        <f t="shared" si="3"/>
        <v/>
      </c>
      <c r="M59" s="8"/>
      <c r="N59" s="7"/>
    </row>
    <row r="60" spans="1:14">
      <c r="A60" s="9" t="str">
        <f t="shared" si="2"/>
        <v/>
      </c>
      <c r="B60" s="8"/>
      <c r="C60" s="7"/>
      <c r="D60" s="7"/>
      <c r="E60" s="7"/>
      <c r="F60" s="8"/>
      <c r="G60" s="8"/>
      <c r="H60" s="8"/>
      <c r="I60" s="8"/>
      <c r="J60" s="8"/>
      <c r="K60" s="10" t="str">
        <f>IF(OR(I60="",J60=""),"",IFERROR(VLOOKUP(I60,'99_Lookups'!$A$2:$B$4,2,FALSE),"")*IFERROR(VLOOKUP(J60,'99_Lookups'!$A$2:$B$4,2,FALSE),""))</f>
        <v/>
      </c>
      <c r="L60" s="5" t="str">
        <f t="shared" si="3"/>
        <v/>
      </c>
      <c r="M60" s="8"/>
      <c r="N60" s="7"/>
    </row>
    <row r="61" spans="1:14">
      <c r="A61" s="9" t="str">
        <f t="shared" si="2"/>
        <v/>
      </c>
      <c r="B61" s="8"/>
      <c r="C61" s="7"/>
      <c r="D61" s="7"/>
      <c r="E61" s="7"/>
      <c r="F61" s="8"/>
      <c r="G61" s="8"/>
      <c r="H61" s="8"/>
      <c r="I61" s="8"/>
      <c r="J61" s="8"/>
      <c r="K61" s="10" t="str">
        <f>IF(OR(I61="",J61=""),"",IFERROR(VLOOKUP(I61,'99_Lookups'!$A$2:$B$4,2,FALSE),"")*IFERROR(VLOOKUP(J61,'99_Lookups'!$A$2:$B$4,2,FALSE),""))</f>
        <v/>
      </c>
      <c r="L61" s="5" t="str">
        <f t="shared" si="3"/>
        <v/>
      </c>
      <c r="M61" s="8"/>
      <c r="N61" s="7"/>
    </row>
    <row r="62" spans="1:14">
      <c r="A62" s="9" t="str">
        <f t="shared" si="2"/>
        <v/>
      </c>
      <c r="B62" s="8"/>
      <c r="C62" s="7"/>
      <c r="D62" s="7"/>
      <c r="E62" s="7"/>
      <c r="F62" s="8"/>
      <c r="G62" s="8"/>
      <c r="H62" s="8"/>
      <c r="I62" s="8"/>
      <c r="J62" s="8"/>
      <c r="K62" s="10" t="str">
        <f>IF(OR(I62="",J62=""),"",IFERROR(VLOOKUP(I62,'99_Lookups'!$A$2:$B$4,2,FALSE),"")*IFERROR(VLOOKUP(J62,'99_Lookups'!$A$2:$B$4,2,FALSE),""))</f>
        <v/>
      </c>
      <c r="L62" s="5" t="str">
        <f t="shared" si="3"/>
        <v/>
      </c>
      <c r="M62" s="8"/>
      <c r="N62" s="7"/>
    </row>
    <row r="63" spans="1:14">
      <c r="A63" s="9" t="str">
        <f t="shared" si="2"/>
        <v/>
      </c>
      <c r="B63" s="8"/>
      <c r="C63" s="7"/>
      <c r="D63" s="7"/>
      <c r="E63" s="7"/>
      <c r="F63" s="8"/>
      <c r="G63" s="8"/>
      <c r="H63" s="8"/>
      <c r="I63" s="8"/>
      <c r="J63" s="8"/>
      <c r="K63" s="10" t="str">
        <f>IF(OR(I63="",J63=""),"",IFERROR(VLOOKUP(I63,'99_Lookups'!$A$2:$B$4,2,FALSE),"")*IFERROR(VLOOKUP(J63,'99_Lookups'!$A$2:$B$4,2,FALSE),""))</f>
        <v/>
      </c>
      <c r="L63" s="5" t="str">
        <f t="shared" si="3"/>
        <v/>
      </c>
      <c r="M63" s="8"/>
      <c r="N63" s="7"/>
    </row>
    <row r="64" spans="1:14">
      <c r="A64" s="9" t="str">
        <f t="shared" si="2"/>
        <v/>
      </c>
      <c r="B64" s="8"/>
      <c r="C64" s="7"/>
      <c r="D64" s="7"/>
      <c r="E64" s="7"/>
      <c r="F64" s="8"/>
      <c r="G64" s="8"/>
      <c r="H64" s="8"/>
      <c r="I64" s="8"/>
      <c r="J64" s="8"/>
      <c r="K64" s="10" t="str">
        <f>IF(OR(I64="",J64=""),"",IFERROR(VLOOKUP(I64,'99_Lookups'!$A$2:$B$4,2,FALSE),"")*IFERROR(VLOOKUP(J64,'99_Lookups'!$A$2:$B$4,2,FALSE),""))</f>
        <v/>
      </c>
      <c r="L64" s="5" t="str">
        <f t="shared" si="3"/>
        <v/>
      </c>
      <c r="M64" s="8"/>
      <c r="N64" s="7"/>
    </row>
    <row r="65" spans="1:14">
      <c r="A65" s="9" t="str">
        <f t="shared" si="2"/>
        <v/>
      </c>
      <c r="B65" s="8"/>
      <c r="C65" s="7"/>
      <c r="D65" s="7"/>
      <c r="E65" s="7"/>
      <c r="F65" s="8"/>
      <c r="G65" s="8"/>
      <c r="H65" s="8"/>
      <c r="I65" s="8"/>
      <c r="J65" s="8"/>
      <c r="K65" s="10" t="str">
        <f>IF(OR(I65="",J65=""),"",IFERROR(VLOOKUP(I65,'99_Lookups'!$A$2:$B$4,2,FALSE),"")*IFERROR(VLOOKUP(J65,'99_Lookups'!$A$2:$B$4,2,FALSE),""))</f>
        <v/>
      </c>
      <c r="L65" s="5" t="str">
        <f t="shared" si="3"/>
        <v/>
      </c>
      <c r="M65" s="8"/>
      <c r="N65" s="7"/>
    </row>
    <row r="66" spans="1:14">
      <c r="A66" s="9" t="str">
        <f t="shared" ref="A66:A97" si="4">IF(COUNTA(C66:E66)&gt;0,"R"&amp;ROW()-1,"")</f>
        <v/>
      </c>
      <c r="B66" s="8"/>
      <c r="C66" s="7"/>
      <c r="D66" s="7"/>
      <c r="E66" s="7"/>
      <c r="F66" s="8"/>
      <c r="G66" s="8"/>
      <c r="H66" s="8"/>
      <c r="I66" s="8"/>
      <c r="J66" s="8"/>
      <c r="K66" s="10" t="str">
        <f>IF(OR(I66="",J66=""),"",IFERROR(VLOOKUP(I66,'99_Lookups'!$A$2:$B$4,2,FALSE),"")*IFERROR(VLOOKUP(J66,'99_Lookups'!$A$2:$B$4,2,FALSE),""))</f>
        <v/>
      </c>
      <c r="L66" s="5" t="str">
        <f t="shared" ref="L66:L97" si="5">IF(K66="","",IF(K66&lt;=3,"Laag",IF(K66&lt;=6,"Midden","Hoog")))</f>
        <v/>
      </c>
      <c r="M66" s="8"/>
      <c r="N66" s="7"/>
    </row>
    <row r="67" spans="1:14">
      <c r="A67" s="9" t="str">
        <f t="shared" si="4"/>
        <v/>
      </c>
      <c r="B67" s="8"/>
      <c r="C67" s="7"/>
      <c r="D67" s="7"/>
      <c r="E67" s="7"/>
      <c r="F67" s="8"/>
      <c r="G67" s="8"/>
      <c r="H67" s="8"/>
      <c r="I67" s="8"/>
      <c r="J67" s="8"/>
      <c r="K67" s="10" t="str">
        <f>IF(OR(I67="",J67=""),"",IFERROR(VLOOKUP(I67,'99_Lookups'!$A$2:$B$4,2,FALSE),"")*IFERROR(VLOOKUP(J67,'99_Lookups'!$A$2:$B$4,2,FALSE),""))</f>
        <v/>
      </c>
      <c r="L67" s="5" t="str">
        <f t="shared" si="5"/>
        <v/>
      </c>
      <c r="M67" s="8"/>
      <c r="N67" s="7"/>
    </row>
    <row r="68" spans="1:14">
      <c r="A68" s="9" t="str">
        <f t="shared" si="4"/>
        <v/>
      </c>
      <c r="B68" s="8"/>
      <c r="C68" s="7"/>
      <c r="D68" s="7"/>
      <c r="E68" s="7"/>
      <c r="F68" s="8"/>
      <c r="G68" s="8"/>
      <c r="H68" s="8"/>
      <c r="I68" s="8"/>
      <c r="J68" s="8"/>
      <c r="K68" s="10" t="str">
        <f>IF(OR(I68="",J68=""),"",IFERROR(VLOOKUP(I68,'99_Lookups'!$A$2:$B$4,2,FALSE),"")*IFERROR(VLOOKUP(J68,'99_Lookups'!$A$2:$B$4,2,FALSE),""))</f>
        <v/>
      </c>
      <c r="L68" s="5" t="str">
        <f t="shared" si="5"/>
        <v/>
      </c>
      <c r="M68" s="8"/>
      <c r="N68" s="7"/>
    </row>
    <row r="69" spans="1:14">
      <c r="A69" s="9" t="str">
        <f t="shared" si="4"/>
        <v/>
      </c>
      <c r="B69" s="8"/>
      <c r="C69" s="7"/>
      <c r="D69" s="7"/>
      <c r="E69" s="7"/>
      <c r="F69" s="8"/>
      <c r="G69" s="8"/>
      <c r="H69" s="8"/>
      <c r="I69" s="8"/>
      <c r="J69" s="8"/>
      <c r="K69" s="10" t="str">
        <f>IF(OR(I69="",J69=""),"",IFERROR(VLOOKUP(I69,'99_Lookups'!$A$2:$B$4,2,FALSE),"")*IFERROR(VLOOKUP(J69,'99_Lookups'!$A$2:$B$4,2,FALSE),""))</f>
        <v/>
      </c>
      <c r="L69" s="5" t="str">
        <f t="shared" si="5"/>
        <v/>
      </c>
      <c r="M69" s="8"/>
      <c r="N69" s="7"/>
    </row>
    <row r="70" spans="1:14">
      <c r="A70" s="9" t="str">
        <f t="shared" si="4"/>
        <v/>
      </c>
      <c r="B70" s="8"/>
      <c r="C70" s="7"/>
      <c r="D70" s="7"/>
      <c r="E70" s="7"/>
      <c r="F70" s="8"/>
      <c r="G70" s="8"/>
      <c r="H70" s="8"/>
      <c r="I70" s="8"/>
      <c r="J70" s="8"/>
      <c r="K70" s="10" t="str">
        <f>IF(OR(I70="",J70=""),"",IFERROR(VLOOKUP(I70,'99_Lookups'!$A$2:$B$4,2,FALSE),"")*IFERROR(VLOOKUP(J70,'99_Lookups'!$A$2:$B$4,2,FALSE),""))</f>
        <v/>
      </c>
      <c r="L70" s="5" t="str">
        <f t="shared" si="5"/>
        <v/>
      </c>
      <c r="M70" s="8"/>
      <c r="N70" s="7"/>
    </row>
    <row r="71" spans="1:14">
      <c r="A71" s="9" t="str">
        <f t="shared" si="4"/>
        <v/>
      </c>
      <c r="B71" s="8"/>
      <c r="C71" s="7"/>
      <c r="D71" s="7"/>
      <c r="E71" s="7"/>
      <c r="F71" s="8"/>
      <c r="G71" s="8"/>
      <c r="H71" s="8"/>
      <c r="I71" s="8"/>
      <c r="J71" s="8"/>
      <c r="K71" s="10" t="str">
        <f>IF(OR(I71="",J71=""),"",IFERROR(VLOOKUP(I71,'99_Lookups'!$A$2:$B$4,2,FALSE),"")*IFERROR(VLOOKUP(J71,'99_Lookups'!$A$2:$B$4,2,FALSE),""))</f>
        <v/>
      </c>
      <c r="L71" s="5" t="str">
        <f t="shared" si="5"/>
        <v/>
      </c>
      <c r="M71" s="8"/>
      <c r="N71" s="7"/>
    </row>
    <row r="72" spans="1:14">
      <c r="A72" s="9" t="str">
        <f t="shared" si="4"/>
        <v/>
      </c>
      <c r="B72" s="8"/>
      <c r="C72" s="7"/>
      <c r="D72" s="7"/>
      <c r="E72" s="7"/>
      <c r="F72" s="8"/>
      <c r="G72" s="8"/>
      <c r="H72" s="8"/>
      <c r="I72" s="8"/>
      <c r="J72" s="8"/>
      <c r="K72" s="10" t="str">
        <f>IF(OR(I72="",J72=""),"",IFERROR(VLOOKUP(I72,'99_Lookups'!$A$2:$B$4,2,FALSE),"")*IFERROR(VLOOKUP(J72,'99_Lookups'!$A$2:$B$4,2,FALSE),""))</f>
        <v/>
      </c>
      <c r="L72" s="5" t="str">
        <f t="shared" si="5"/>
        <v/>
      </c>
      <c r="M72" s="8"/>
      <c r="N72" s="7"/>
    </row>
    <row r="73" spans="1:14">
      <c r="A73" s="9" t="str">
        <f t="shared" si="4"/>
        <v/>
      </c>
      <c r="B73" s="8"/>
      <c r="C73" s="7"/>
      <c r="D73" s="7"/>
      <c r="E73" s="7"/>
      <c r="F73" s="8"/>
      <c r="G73" s="8"/>
      <c r="H73" s="8"/>
      <c r="I73" s="8"/>
      <c r="J73" s="8"/>
      <c r="K73" s="10" t="str">
        <f>IF(OR(I73="",J73=""),"",IFERROR(VLOOKUP(I73,'99_Lookups'!$A$2:$B$4,2,FALSE),"")*IFERROR(VLOOKUP(J73,'99_Lookups'!$A$2:$B$4,2,FALSE),""))</f>
        <v/>
      </c>
      <c r="L73" s="5" t="str">
        <f t="shared" si="5"/>
        <v/>
      </c>
      <c r="M73" s="8"/>
      <c r="N73" s="7"/>
    </row>
    <row r="74" spans="1:14">
      <c r="A74" s="9" t="str">
        <f t="shared" si="4"/>
        <v/>
      </c>
      <c r="B74" s="8"/>
      <c r="C74" s="7"/>
      <c r="D74" s="7"/>
      <c r="E74" s="7"/>
      <c r="F74" s="8"/>
      <c r="G74" s="8"/>
      <c r="H74" s="8"/>
      <c r="I74" s="8"/>
      <c r="J74" s="8"/>
      <c r="K74" s="10" t="str">
        <f>IF(OR(I74="",J74=""),"",IFERROR(VLOOKUP(I74,'99_Lookups'!$A$2:$B$4,2,FALSE),"")*IFERROR(VLOOKUP(J74,'99_Lookups'!$A$2:$B$4,2,FALSE),""))</f>
        <v/>
      </c>
      <c r="L74" s="5" t="str">
        <f t="shared" si="5"/>
        <v/>
      </c>
      <c r="M74" s="8"/>
      <c r="N74" s="7"/>
    </row>
    <row r="75" spans="1:14">
      <c r="A75" s="9" t="str">
        <f t="shared" si="4"/>
        <v/>
      </c>
      <c r="B75" s="8"/>
      <c r="C75" s="7"/>
      <c r="D75" s="7"/>
      <c r="E75" s="7"/>
      <c r="F75" s="8"/>
      <c r="G75" s="8"/>
      <c r="H75" s="8"/>
      <c r="I75" s="8"/>
      <c r="J75" s="8"/>
      <c r="K75" s="10" t="str">
        <f>IF(OR(I75="",J75=""),"",IFERROR(VLOOKUP(I75,'99_Lookups'!$A$2:$B$4,2,FALSE),"")*IFERROR(VLOOKUP(J75,'99_Lookups'!$A$2:$B$4,2,FALSE),""))</f>
        <v/>
      </c>
      <c r="L75" s="5" t="str">
        <f t="shared" si="5"/>
        <v/>
      </c>
      <c r="M75" s="8"/>
      <c r="N75" s="7"/>
    </row>
    <row r="76" spans="1:14">
      <c r="A76" s="9" t="str">
        <f t="shared" si="4"/>
        <v/>
      </c>
      <c r="B76" s="8"/>
      <c r="C76" s="7"/>
      <c r="D76" s="7"/>
      <c r="E76" s="7"/>
      <c r="F76" s="8"/>
      <c r="G76" s="8"/>
      <c r="H76" s="8"/>
      <c r="I76" s="8"/>
      <c r="J76" s="8"/>
      <c r="K76" s="10" t="str">
        <f>IF(OR(I76="",J76=""),"",IFERROR(VLOOKUP(I76,'99_Lookups'!$A$2:$B$4,2,FALSE),"")*IFERROR(VLOOKUP(J76,'99_Lookups'!$A$2:$B$4,2,FALSE),""))</f>
        <v/>
      </c>
      <c r="L76" s="5" t="str">
        <f t="shared" si="5"/>
        <v/>
      </c>
      <c r="M76" s="8"/>
      <c r="N76" s="7"/>
    </row>
    <row r="77" spans="1:14">
      <c r="A77" s="9" t="str">
        <f t="shared" si="4"/>
        <v/>
      </c>
      <c r="B77" s="8"/>
      <c r="C77" s="7"/>
      <c r="D77" s="7"/>
      <c r="E77" s="7"/>
      <c r="F77" s="8"/>
      <c r="G77" s="8"/>
      <c r="H77" s="8"/>
      <c r="I77" s="8"/>
      <c r="J77" s="8"/>
      <c r="K77" s="10" t="str">
        <f>IF(OR(I77="",J77=""),"",IFERROR(VLOOKUP(I77,'99_Lookups'!$A$2:$B$4,2,FALSE),"")*IFERROR(VLOOKUP(J77,'99_Lookups'!$A$2:$B$4,2,FALSE),""))</f>
        <v/>
      </c>
      <c r="L77" s="5" t="str">
        <f t="shared" si="5"/>
        <v/>
      </c>
      <c r="M77" s="8"/>
      <c r="N77" s="7"/>
    </row>
    <row r="78" spans="1:14">
      <c r="A78" s="9" t="str">
        <f t="shared" si="4"/>
        <v/>
      </c>
      <c r="B78" s="8"/>
      <c r="C78" s="7"/>
      <c r="D78" s="7"/>
      <c r="E78" s="7"/>
      <c r="F78" s="8"/>
      <c r="G78" s="8"/>
      <c r="H78" s="8"/>
      <c r="I78" s="8"/>
      <c r="J78" s="8"/>
      <c r="K78" s="10" t="str">
        <f>IF(OR(I78="",J78=""),"",IFERROR(VLOOKUP(I78,'99_Lookups'!$A$2:$B$4,2,FALSE),"")*IFERROR(VLOOKUP(J78,'99_Lookups'!$A$2:$B$4,2,FALSE),""))</f>
        <v/>
      </c>
      <c r="L78" s="5" t="str">
        <f t="shared" si="5"/>
        <v/>
      </c>
      <c r="M78" s="8"/>
      <c r="N78" s="7"/>
    </row>
    <row r="79" spans="1:14">
      <c r="A79" s="9" t="str">
        <f t="shared" si="4"/>
        <v/>
      </c>
      <c r="B79" s="8"/>
      <c r="C79" s="7"/>
      <c r="D79" s="7"/>
      <c r="E79" s="7"/>
      <c r="F79" s="8"/>
      <c r="G79" s="8"/>
      <c r="H79" s="8"/>
      <c r="I79" s="8"/>
      <c r="J79" s="8"/>
      <c r="K79" s="10" t="str">
        <f>IF(OR(I79="",J79=""),"",IFERROR(VLOOKUP(I79,'99_Lookups'!$A$2:$B$4,2,FALSE),"")*IFERROR(VLOOKUP(J79,'99_Lookups'!$A$2:$B$4,2,FALSE),""))</f>
        <v/>
      </c>
      <c r="L79" s="5" t="str">
        <f t="shared" si="5"/>
        <v/>
      </c>
      <c r="M79" s="8"/>
      <c r="N79" s="7"/>
    </row>
    <row r="80" spans="1:14">
      <c r="A80" s="9" t="str">
        <f t="shared" si="4"/>
        <v/>
      </c>
      <c r="B80" s="8"/>
      <c r="C80" s="7"/>
      <c r="D80" s="7"/>
      <c r="E80" s="7"/>
      <c r="F80" s="8"/>
      <c r="G80" s="8"/>
      <c r="H80" s="8"/>
      <c r="I80" s="8"/>
      <c r="J80" s="8"/>
      <c r="K80" s="10" t="str">
        <f>IF(OR(I80="",J80=""),"",IFERROR(VLOOKUP(I80,'99_Lookups'!$A$2:$B$4,2,FALSE),"")*IFERROR(VLOOKUP(J80,'99_Lookups'!$A$2:$B$4,2,FALSE),""))</f>
        <v/>
      </c>
      <c r="L80" s="5" t="str">
        <f t="shared" si="5"/>
        <v/>
      </c>
      <c r="M80" s="8"/>
      <c r="N80" s="7"/>
    </row>
    <row r="81" spans="1:14">
      <c r="A81" s="9" t="str">
        <f t="shared" si="4"/>
        <v/>
      </c>
      <c r="B81" s="8"/>
      <c r="C81" s="7"/>
      <c r="D81" s="7"/>
      <c r="E81" s="7"/>
      <c r="F81" s="8"/>
      <c r="G81" s="8"/>
      <c r="H81" s="8"/>
      <c r="I81" s="8"/>
      <c r="J81" s="8"/>
      <c r="K81" s="10" t="str">
        <f>IF(OR(I81="",J81=""),"",IFERROR(VLOOKUP(I81,'99_Lookups'!$A$2:$B$4,2,FALSE),"")*IFERROR(VLOOKUP(J81,'99_Lookups'!$A$2:$B$4,2,FALSE),""))</f>
        <v/>
      </c>
      <c r="L81" s="5" t="str">
        <f t="shared" si="5"/>
        <v/>
      </c>
      <c r="M81" s="8"/>
      <c r="N81" s="7"/>
    </row>
    <row r="82" spans="1:14">
      <c r="A82" s="9" t="str">
        <f t="shared" si="4"/>
        <v/>
      </c>
      <c r="B82" s="8"/>
      <c r="C82" s="7"/>
      <c r="D82" s="7"/>
      <c r="E82" s="7"/>
      <c r="F82" s="8"/>
      <c r="G82" s="8"/>
      <c r="H82" s="8"/>
      <c r="I82" s="8"/>
      <c r="J82" s="8"/>
      <c r="K82" s="10" t="str">
        <f>IF(OR(I82="",J82=""),"",IFERROR(VLOOKUP(I82,'99_Lookups'!$A$2:$B$4,2,FALSE),"")*IFERROR(VLOOKUP(J82,'99_Lookups'!$A$2:$B$4,2,FALSE),""))</f>
        <v/>
      </c>
      <c r="L82" s="5" t="str">
        <f t="shared" si="5"/>
        <v/>
      </c>
      <c r="M82" s="8"/>
      <c r="N82" s="7"/>
    </row>
    <row r="83" spans="1:14">
      <c r="A83" s="9" t="str">
        <f t="shared" si="4"/>
        <v/>
      </c>
      <c r="B83" s="8"/>
      <c r="C83" s="7"/>
      <c r="D83" s="7"/>
      <c r="E83" s="7"/>
      <c r="F83" s="8"/>
      <c r="G83" s="8"/>
      <c r="H83" s="8"/>
      <c r="I83" s="8"/>
      <c r="J83" s="8"/>
      <c r="K83" s="10" t="str">
        <f>IF(OR(I83="",J83=""),"",IFERROR(VLOOKUP(I83,'99_Lookups'!$A$2:$B$4,2,FALSE),"")*IFERROR(VLOOKUP(J83,'99_Lookups'!$A$2:$B$4,2,FALSE),""))</f>
        <v/>
      </c>
      <c r="L83" s="5" t="str">
        <f t="shared" si="5"/>
        <v/>
      </c>
      <c r="M83" s="8"/>
      <c r="N83" s="7"/>
    </row>
    <row r="84" spans="1:14">
      <c r="A84" s="9" t="str">
        <f t="shared" si="4"/>
        <v/>
      </c>
      <c r="B84" s="8"/>
      <c r="C84" s="7"/>
      <c r="D84" s="7"/>
      <c r="E84" s="7"/>
      <c r="F84" s="8"/>
      <c r="G84" s="8"/>
      <c r="H84" s="8"/>
      <c r="I84" s="8"/>
      <c r="J84" s="8"/>
      <c r="K84" s="10" t="str">
        <f>IF(OR(I84="",J84=""),"",IFERROR(VLOOKUP(I84,'99_Lookups'!$A$2:$B$4,2,FALSE),"")*IFERROR(VLOOKUP(J84,'99_Lookups'!$A$2:$B$4,2,FALSE),""))</f>
        <v/>
      </c>
      <c r="L84" s="5" t="str">
        <f t="shared" si="5"/>
        <v/>
      </c>
      <c r="M84" s="8"/>
      <c r="N84" s="7"/>
    </row>
    <row r="85" spans="1:14">
      <c r="A85" s="9" t="str">
        <f t="shared" si="4"/>
        <v/>
      </c>
      <c r="B85" s="8"/>
      <c r="C85" s="7"/>
      <c r="D85" s="7"/>
      <c r="E85" s="7"/>
      <c r="F85" s="8"/>
      <c r="G85" s="8"/>
      <c r="H85" s="8"/>
      <c r="I85" s="8"/>
      <c r="J85" s="8"/>
      <c r="K85" s="10" t="str">
        <f>IF(OR(I85="",J85=""),"",IFERROR(VLOOKUP(I85,'99_Lookups'!$A$2:$B$4,2,FALSE),"")*IFERROR(VLOOKUP(J85,'99_Lookups'!$A$2:$B$4,2,FALSE),""))</f>
        <v/>
      </c>
      <c r="L85" s="5" t="str">
        <f t="shared" si="5"/>
        <v/>
      </c>
      <c r="M85" s="8"/>
      <c r="N85" s="7"/>
    </row>
    <row r="86" spans="1:14">
      <c r="A86" s="9" t="str">
        <f t="shared" si="4"/>
        <v/>
      </c>
      <c r="B86" s="8"/>
      <c r="C86" s="7"/>
      <c r="D86" s="7"/>
      <c r="E86" s="7"/>
      <c r="F86" s="8"/>
      <c r="G86" s="8"/>
      <c r="H86" s="8"/>
      <c r="I86" s="8"/>
      <c r="J86" s="8"/>
      <c r="K86" s="10" t="str">
        <f>IF(OR(I86="",J86=""),"",IFERROR(VLOOKUP(I86,'99_Lookups'!$A$2:$B$4,2,FALSE),"")*IFERROR(VLOOKUP(J86,'99_Lookups'!$A$2:$B$4,2,FALSE),""))</f>
        <v/>
      </c>
      <c r="L86" s="5" t="str">
        <f t="shared" si="5"/>
        <v/>
      </c>
      <c r="M86" s="8"/>
      <c r="N86" s="7"/>
    </row>
    <row r="87" spans="1:14">
      <c r="A87" s="9" t="str">
        <f t="shared" si="4"/>
        <v/>
      </c>
      <c r="B87" s="8"/>
      <c r="C87" s="7"/>
      <c r="D87" s="7"/>
      <c r="E87" s="7"/>
      <c r="F87" s="8"/>
      <c r="G87" s="8"/>
      <c r="H87" s="8"/>
      <c r="I87" s="8"/>
      <c r="J87" s="8"/>
      <c r="K87" s="10" t="str">
        <f>IF(OR(I87="",J87=""),"",IFERROR(VLOOKUP(I87,'99_Lookups'!$A$2:$B$4,2,FALSE),"")*IFERROR(VLOOKUP(J87,'99_Lookups'!$A$2:$B$4,2,FALSE),""))</f>
        <v/>
      </c>
      <c r="L87" s="5" t="str">
        <f t="shared" si="5"/>
        <v/>
      </c>
      <c r="M87" s="8"/>
      <c r="N87" s="7"/>
    </row>
    <row r="88" spans="1:14">
      <c r="A88" s="9" t="str">
        <f t="shared" si="4"/>
        <v/>
      </c>
      <c r="B88" s="8"/>
      <c r="C88" s="7"/>
      <c r="D88" s="7"/>
      <c r="E88" s="7"/>
      <c r="F88" s="8"/>
      <c r="G88" s="8"/>
      <c r="H88" s="8"/>
      <c r="I88" s="8"/>
      <c r="J88" s="8"/>
      <c r="K88" s="10" t="str">
        <f>IF(OR(I88="",J88=""),"",IFERROR(VLOOKUP(I88,'99_Lookups'!$A$2:$B$4,2,FALSE),"")*IFERROR(VLOOKUP(J88,'99_Lookups'!$A$2:$B$4,2,FALSE),""))</f>
        <v/>
      </c>
      <c r="L88" s="5" t="str">
        <f t="shared" si="5"/>
        <v/>
      </c>
      <c r="M88" s="8"/>
      <c r="N88" s="7"/>
    </row>
    <row r="89" spans="1:14">
      <c r="A89" s="9" t="str">
        <f t="shared" si="4"/>
        <v/>
      </c>
      <c r="B89" s="8"/>
      <c r="C89" s="7"/>
      <c r="D89" s="7"/>
      <c r="E89" s="7"/>
      <c r="F89" s="8"/>
      <c r="G89" s="8"/>
      <c r="H89" s="8"/>
      <c r="I89" s="8"/>
      <c r="J89" s="8"/>
      <c r="K89" s="10" t="str">
        <f>IF(OR(I89="",J89=""),"",IFERROR(VLOOKUP(I89,'99_Lookups'!$A$2:$B$4,2,FALSE),"")*IFERROR(VLOOKUP(J89,'99_Lookups'!$A$2:$B$4,2,FALSE),""))</f>
        <v/>
      </c>
      <c r="L89" s="5" t="str">
        <f t="shared" si="5"/>
        <v/>
      </c>
      <c r="M89" s="8"/>
      <c r="N89" s="7"/>
    </row>
    <row r="90" spans="1:14">
      <c r="A90" s="9" t="str">
        <f t="shared" si="4"/>
        <v/>
      </c>
      <c r="B90" s="8"/>
      <c r="C90" s="7"/>
      <c r="D90" s="7"/>
      <c r="E90" s="7"/>
      <c r="F90" s="8"/>
      <c r="G90" s="8"/>
      <c r="H90" s="8"/>
      <c r="I90" s="8"/>
      <c r="J90" s="8"/>
      <c r="K90" s="10" t="str">
        <f>IF(OR(I90="",J90=""),"",IFERROR(VLOOKUP(I90,'99_Lookups'!$A$2:$B$4,2,FALSE),"")*IFERROR(VLOOKUP(J90,'99_Lookups'!$A$2:$B$4,2,FALSE),""))</f>
        <v/>
      </c>
      <c r="L90" s="5" t="str">
        <f t="shared" si="5"/>
        <v/>
      </c>
      <c r="M90" s="8"/>
      <c r="N90" s="7"/>
    </row>
    <row r="91" spans="1:14">
      <c r="A91" s="9" t="str">
        <f t="shared" si="4"/>
        <v/>
      </c>
      <c r="B91" s="8"/>
      <c r="C91" s="7"/>
      <c r="D91" s="7"/>
      <c r="E91" s="7"/>
      <c r="F91" s="8"/>
      <c r="G91" s="8"/>
      <c r="H91" s="8"/>
      <c r="I91" s="8"/>
      <c r="J91" s="8"/>
      <c r="K91" s="10" t="str">
        <f>IF(OR(I91="",J91=""),"",IFERROR(VLOOKUP(I91,'99_Lookups'!$A$2:$B$4,2,FALSE),"")*IFERROR(VLOOKUP(J91,'99_Lookups'!$A$2:$B$4,2,FALSE),""))</f>
        <v/>
      </c>
      <c r="L91" s="5" t="str">
        <f t="shared" si="5"/>
        <v/>
      </c>
      <c r="M91" s="8"/>
      <c r="N91" s="7"/>
    </row>
    <row r="92" spans="1:14">
      <c r="A92" s="9" t="str">
        <f t="shared" si="4"/>
        <v/>
      </c>
      <c r="B92" s="8"/>
      <c r="C92" s="7"/>
      <c r="D92" s="7"/>
      <c r="E92" s="7"/>
      <c r="F92" s="8"/>
      <c r="G92" s="8"/>
      <c r="H92" s="8"/>
      <c r="I92" s="8"/>
      <c r="J92" s="8"/>
      <c r="K92" s="10" t="str">
        <f>IF(OR(I92="",J92=""),"",IFERROR(VLOOKUP(I92,'99_Lookups'!$A$2:$B$4,2,FALSE),"")*IFERROR(VLOOKUP(J92,'99_Lookups'!$A$2:$B$4,2,FALSE),""))</f>
        <v/>
      </c>
      <c r="L92" s="5" t="str">
        <f t="shared" si="5"/>
        <v/>
      </c>
      <c r="M92" s="8"/>
      <c r="N92" s="7"/>
    </row>
    <row r="93" spans="1:14">
      <c r="A93" s="9" t="str">
        <f t="shared" si="4"/>
        <v/>
      </c>
      <c r="B93" s="8"/>
      <c r="C93" s="7"/>
      <c r="D93" s="7"/>
      <c r="E93" s="7"/>
      <c r="F93" s="8"/>
      <c r="G93" s="8"/>
      <c r="H93" s="8"/>
      <c r="I93" s="8"/>
      <c r="J93" s="8"/>
      <c r="K93" s="10" t="str">
        <f>IF(OR(I93="",J93=""),"",IFERROR(VLOOKUP(I93,'99_Lookups'!$A$2:$B$4,2,FALSE),"")*IFERROR(VLOOKUP(J93,'99_Lookups'!$A$2:$B$4,2,FALSE),""))</f>
        <v/>
      </c>
      <c r="L93" s="5" t="str">
        <f t="shared" si="5"/>
        <v/>
      </c>
      <c r="M93" s="8"/>
      <c r="N93" s="7"/>
    </row>
    <row r="94" spans="1:14">
      <c r="A94" s="9" t="str">
        <f t="shared" si="4"/>
        <v/>
      </c>
      <c r="B94" s="8"/>
      <c r="C94" s="7"/>
      <c r="D94" s="7"/>
      <c r="E94" s="7"/>
      <c r="F94" s="8"/>
      <c r="G94" s="8"/>
      <c r="H94" s="8"/>
      <c r="I94" s="8"/>
      <c r="J94" s="8"/>
      <c r="K94" s="10" t="str">
        <f>IF(OR(I94="",J94=""),"",IFERROR(VLOOKUP(I94,'99_Lookups'!$A$2:$B$4,2,FALSE),"")*IFERROR(VLOOKUP(J94,'99_Lookups'!$A$2:$B$4,2,FALSE),""))</f>
        <v/>
      </c>
      <c r="L94" s="5" t="str">
        <f t="shared" si="5"/>
        <v/>
      </c>
      <c r="M94" s="8"/>
      <c r="N94" s="7"/>
    </row>
    <row r="95" spans="1:14">
      <c r="A95" s="9" t="str">
        <f t="shared" si="4"/>
        <v/>
      </c>
      <c r="B95" s="8"/>
      <c r="C95" s="7"/>
      <c r="D95" s="7"/>
      <c r="E95" s="7"/>
      <c r="F95" s="8"/>
      <c r="G95" s="8"/>
      <c r="H95" s="8"/>
      <c r="I95" s="8"/>
      <c r="J95" s="8"/>
      <c r="K95" s="10" t="str">
        <f>IF(OR(I95="",J95=""),"",IFERROR(VLOOKUP(I95,'99_Lookups'!$A$2:$B$4,2,FALSE),"")*IFERROR(VLOOKUP(J95,'99_Lookups'!$A$2:$B$4,2,FALSE),""))</f>
        <v/>
      </c>
      <c r="L95" s="5" t="str">
        <f t="shared" si="5"/>
        <v/>
      </c>
      <c r="M95" s="8"/>
      <c r="N95" s="7"/>
    </row>
    <row r="96" spans="1:14">
      <c r="A96" s="9" t="str">
        <f t="shared" si="4"/>
        <v/>
      </c>
      <c r="B96" s="8"/>
      <c r="C96" s="7"/>
      <c r="D96" s="7"/>
      <c r="E96" s="7"/>
      <c r="F96" s="8"/>
      <c r="G96" s="8"/>
      <c r="H96" s="8"/>
      <c r="I96" s="8"/>
      <c r="J96" s="8"/>
      <c r="K96" s="10" t="str">
        <f>IF(OR(I96="",J96=""),"",IFERROR(VLOOKUP(I96,'99_Lookups'!$A$2:$B$4,2,FALSE),"")*IFERROR(VLOOKUP(J96,'99_Lookups'!$A$2:$B$4,2,FALSE),""))</f>
        <v/>
      </c>
      <c r="L96" s="5" t="str">
        <f t="shared" si="5"/>
        <v/>
      </c>
      <c r="M96" s="8"/>
      <c r="N96" s="7"/>
    </row>
    <row r="97" spans="1:14">
      <c r="A97" s="9" t="str">
        <f t="shared" si="4"/>
        <v/>
      </c>
      <c r="B97" s="8"/>
      <c r="C97" s="7"/>
      <c r="D97" s="7"/>
      <c r="E97" s="7"/>
      <c r="F97" s="8"/>
      <c r="G97" s="8"/>
      <c r="H97" s="8"/>
      <c r="I97" s="8"/>
      <c r="J97" s="8"/>
      <c r="K97" s="10" t="str">
        <f>IF(OR(I97="",J97=""),"",IFERROR(VLOOKUP(I97,'99_Lookups'!$A$2:$B$4,2,FALSE),"")*IFERROR(VLOOKUP(J97,'99_Lookups'!$A$2:$B$4,2,FALSE),""))</f>
        <v/>
      </c>
      <c r="L97" s="5" t="str">
        <f t="shared" si="5"/>
        <v/>
      </c>
      <c r="M97" s="8"/>
      <c r="N97" s="7"/>
    </row>
    <row r="98" spans="1:14">
      <c r="A98" s="9" t="str">
        <f t="shared" ref="A98:A129" si="6">IF(COUNTA(C98:E98)&gt;0,"R"&amp;ROW()-1,"")</f>
        <v/>
      </c>
      <c r="B98" s="8"/>
      <c r="C98" s="7"/>
      <c r="D98" s="7"/>
      <c r="E98" s="7"/>
      <c r="F98" s="8"/>
      <c r="G98" s="8"/>
      <c r="H98" s="8"/>
      <c r="I98" s="8"/>
      <c r="J98" s="8"/>
      <c r="K98" s="10" t="str">
        <f>IF(OR(I98="",J98=""),"",IFERROR(VLOOKUP(I98,'99_Lookups'!$A$2:$B$4,2,FALSE),"")*IFERROR(VLOOKUP(J98,'99_Lookups'!$A$2:$B$4,2,FALSE),""))</f>
        <v/>
      </c>
      <c r="L98" s="5" t="str">
        <f t="shared" ref="L98:L129" si="7">IF(K98="","",IF(K98&lt;=3,"Laag",IF(K98&lt;=6,"Midden","Hoog")))</f>
        <v/>
      </c>
      <c r="M98" s="8"/>
      <c r="N98" s="7"/>
    </row>
    <row r="99" spans="1:14">
      <c r="A99" s="9" t="str">
        <f t="shared" si="6"/>
        <v/>
      </c>
      <c r="B99" s="8"/>
      <c r="C99" s="7"/>
      <c r="D99" s="7"/>
      <c r="E99" s="7"/>
      <c r="F99" s="8"/>
      <c r="G99" s="8"/>
      <c r="H99" s="8"/>
      <c r="I99" s="8"/>
      <c r="J99" s="8"/>
      <c r="K99" s="10" t="str">
        <f>IF(OR(I99="",J99=""),"",IFERROR(VLOOKUP(I99,'99_Lookups'!$A$2:$B$4,2,FALSE),"")*IFERROR(VLOOKUP(J99,'99_Lookups'!$A$2:$B$4,2,FALSE),""))</f>
        <v/>
      </c>
      <c r="L99" s="5" t="str">
        <f t="shared" si="7"/>
        <v/>
      </c>
      <c r="M99" s="8"/>
      <c r="N99" s="7"/>
    </row>
    <row r="100" spans="1:14">
      <c r="A100" s="9" t="str">
        <f t="shared" si="6"/>
        <v/>
      </c>
      <c r="B100" s="8"/>
      <c r="C100" s="7"/>
      <c r="D100" s="7"/>
      <c r="E100" s="7"/>
      <c r="F100" s="8"/>
      <c r="G100" s="8"/>
      <c r="H100" s="8"/>
      <c r="I100" s="8"/>
      <c r="J100" s="8"/>
      <c r="K100" s="10" t="str">
        <f>IF(OR(I100="",J100=""),"",IFERROR(VLOOKUP(I100,'99_Lookups'!$A$2:$B$4,2,FALSE),"")*IFERROR(VLOOKUP(J100,'99_Lookups'!$A$2:$B$4,2,FALSE),""))</f>
        <v/>
      </c>
      <c r="L100" s="5" t="str">
        <f t="shared" si="7"/>
        <v/>
      </c>
      <c r="M100" s="8"/>
      <c r="N100" s="7"/>
    </row>
    <row r="101" spans="1:14">
      <c r="A101" s="9" t="str">
        <f t="shared" si="6"/>
        <v/>
      </c>
      <c r="B101" s="8"/>
      <c r="C101" s="7"/>
      <c r="D101" s="7"/>
      <c r="E101" s="7"/>
      <c r="F101" s="8"/>
      <c r="G101" s="8"/>
      <c r="H101" s="8"/>
      <c r="I101" s="8"/>
      <c r="J101" s="8"/>
      <c r="K101" s="10" t="str">
        <f>IF(OR(I101="",J101=""),"",IFERROR(VLOOKUP(I101,'99_Lookups'!$A$2:$B$4,2,FALSE),"")*IFERROR(VLOOKUP(J101,'99_Lookups'!$A$2:$B$4,2,FALSE),""))</f>
        <v/>
      </c>
      <c r="L101" s="5" t="str">
        <f t="shared" si="7"/>
        <v/>
      </c>
      <c r="M101" s="8"/>
      <c r="N101" s="7"/>
    </row>
    <row r="102" spans="1:14">
      <c r="A102" s="9" t="str">
        <f t="shared" si="6"/>
        <v/>
      </c>
      <c r="B102" s="8"/>
      <c r="C102" s="7"/>
      <c r="D102" s="7"/>
      <c r="E102" s="7"/>
      <c r="F102" s="8"/>
      <c r="G102" s="8"/>
      <c r="H102" s="8"/>
      <c r="I102" s="8"/>
      <c r="J102" s="8"/>
      <c r="K102" s="10" t="str">
        <f>IF(OR(I102="",J102=""),"",IFERROR(VLOOKUP(I102,'99_Lookups'!$A$2:$B$4,2,FALSE),"")*IFERROR(VLOOKUP(J102,'99_Lookups'!$A$2:$B$4,2,FALSE),""))</f>
        <v/>
      </c>
      <c r="L102" s="5" t="str">
        <f t="shared" si="7"/>
        <v/>
      </c>
      <c r="M102" s="8"/>
      <c r="N102" s="7"/>
    </row>
    <row r="103" spans="1:14">
      <c r="A103" s="9" t="str">
        <f t="shared" si="6"/>
        <v/>
      </c>
      <c r="B103" s="8"/>
      <c r="C103" s="7"/>
      <c r="D103" s="7"/>
      <c r="E103" s="7"/>
      <c r="F103" s="8"/>
      <c r="G103" s="8"/>
      <c r="H103" s="8"/>
      <c r="I103" s="8"/>
      <c r="J103" s="8"/>
      <c r="K103" s="10" t="str">
        <f>IF(OR(I103="",J103=""),"",IFERROR(VLOOKUP(I103,'99_Lookups'!$A$2:$B$4,2,FALSE),"")*IFERROR(VLOOKUP(J103,'99_Lookups'!$A$2:$B$4,2,FALSE),""))</f>
        <v/>
      </c>
      <c r="L103" s="5" t="str">
        <f t="shared" si="7"/>
        <v/>
      </c>
      <c r="M103" s="8"/>
      <c r="N103" s="7"/>
    </row>
    <row r="104" spans="1:14">
      <c r="A104" s="9" t="str">
        <f t="shared" si="6"/>
        <v/>
      </c>
      <c r="B104" s="8"/>
      <c r="C104" s="7"/>
      <c r="D104" s="7"/>
      <c r="E104" s="7"/>
      <c r="F104" s="8"/>
      <c r="G104" s="8"/>
      <c r="H104" s="8"/>
      <c r="I104" s="8"/>
      <c r="J104" s="8"/>
      <c r="K104" s="10" t="str">
        <f>IF(OR(I104="",J104=""),"",IFERROR(VLOOKUP(I104,'99_Lookups'!$A$2:$B$4,2,FALSE),"")*IFERROR(VLOOKUP(J104,'99_Lookups'!$A$2:$B$4,2,FALSE),""))</f>
        <v/>
      </c>
      <c r="L104" s="5" t="str">
        <f t="shared" si="7"/>
        <v/>
      </c>
      <c r="M104" s="8"/>
      <c r="N104" s="7"/>
    </row>
    <row r="105" spans="1:14">
      <c r="A105" s="9" t="str">
        <f t="shared" si="6"/>
        <v/>
      </c>
      <c r="B105" s="8"/>
      <c r="C105" s="7"/>
      <c r="D105" s="7"/>
      <c r="E105" s="7"/>
      <c r="F105" s="8"/>
      <c r="G105" s="8"/>
      <c r="H105" s="8"/>
      <c r="I105" s="8"/>
      <c r="J105" s="8"/>
      <c r="K105" s="10" t="str">
        <f>IF(OR(I105="",J105=""),"",IFERROR(VLOOKUP(I105,'99_Lookups'!$A$2:$B$4,2,FALSE),"")*IFERROR(VLOOKUP(J105,'99_Lookups'!$A$2:$B$4,2,FALSE),""))</f>
        <v/>
      </c>
      <c r="L105" s="5" t="str">
        <f t="shared" si="7"/>
        <v/>
      </c>
      <c r="M105" s="8"/>
      <c r="N105" s="7"/>
    </row>
    <row r="106" spans="1:14">
      <c r="A106" s="9" t="str">
        <f t="shared" si="6"/>
        <v/>
      </c>
      <c r="B106" s="8"/>
      <c r="C106" s="7"/>
      <c r="D106" s="7"/>
      <c r="E106" s="7"/>
      <c r="F106" s="8"/>
      <c r="G106" s="8"/>
      <c r="H106" s="8"/>
      <c r="I106" s="8"/>
      <c r="J106" s="8"/>
      <c r="K106" s="10" t="str">
        <f>IF(OR(I106="",J106=""),"",IFERROR(VLOOKUP(I106,'99_Lookups'!$A$2:$B$4,2,FALSE),"")*IFERROR(VLOOKUP(J106,'99_Lookups'!$A$2:$B$4,2,FALSE),""))</f>
        <v/>
      </c>
      <c r="L106" s="5" t="str">
        <f t="shared" si="7"/>
        <v/>
      </c>
      <c r="M106" s="8"/>
      <c r="N106" s="7"/>
    </row>
    <row r="107" spans="1:14">
      <c r="A107" s="9" t="str">
        <f t="shared" si="6"/>
        <v/>
      </c>
      <c r="B107" s="8"/>
      <c r="C107" s="7"/>
      <c r="D107" s="7"/>
      <c r="E107" s="7"/>
      <c r="F107" s="8"/>
      <c r="G107" s="8"/>
      <c r="H107" s="8"/>
      <c r="I107" s="8"/>
      <c r="J107" s="8"/>
      <c r="K107" s="10" t="str">
        <f>IF(OR(I107="",J107=""),"",IFERROR(VLOOKUP(I107,'99_Lookups'!$A$2:$B$4,2,FALSE),"")*IFERROR(VLOOKUP(J107,'99_Lookups'!$A$2:$B$4,2,FALSE),""))</f>
        <v/>
      </c>
      <c r="L107" s="5" t="str">
        <f t="shared" si="7"/>
        <v/>
      </c>
      <c r="M107" s="8"/>
      <c r="N107" s="7"/>
    </row>
    <row r="108" spans="1:14">
      <c r="A108" s="9" t="str">
        <f t="shared" si="6"/>
        <v/>
      </c>
      <c r="B108" s="8"/>
      <c r="C108" s="7"/>
      <c r="D108" s="7"/>
      <c r="E108" s="7"/>
      <c r="F108" s="8"/>
      <c r="G108" s="8"/>
      <c r="H108" s="8"/>
      <c r="I108" s="8"/>
      <c r="J108" s="8"/>
      <c r="K108" s="10" t="str">
        <f>IF(OR(I108="",J108=""),"",IFERROR(VLOOKUP(I108,'99_Lookups'!$A$2:$B$4,2,FALSE),"")*IFERROR(VLOOKUP(J108,'99_Lookups'!$A$2:$B$4,2,FALSE),""))</f>
        <v/>
      </c>
      <c r="L108" s="5" t="str">
        <f t="shared" si="7"/>
        <v/>
      </c>
      <c r="M108" s="8"/>
      <c r="N108" s="7"/>
    </row>
    <row r="109" spans="1:14">
      <c r="A109" s="9" t="str">
        <f t="shared" si="6"/>
        <v/>
      </c>
      <c r="B109" s="8"/>
      <c r="C109" s="7"/>
      <c r="D109" s="7"/>
      <c r="E109" s="7"/>
      <c r="F109" s="8"/>
      <c r="G109" s="8"/>
      <c r="H109" s="8"/>
      <c r="I109" s="8"/>
      <c r="J109" s="8"/>
      <c r="K109" s="10" t="str">
        <f>IF(OR(I109="",J109=""),"",IFERROR(VLOOKUP(I109,'99_Lookups'!$A$2:$B$4,2,FALSE),"")*IFERROR(VLOOKUP(J109,'99_Lookups'!$A$2:$B$4,2,FALSE),""))</f>
        <v/>
      </c>
      <c r="L109" s="5" t="str">
        <f t="shared" si="7"/>
        <v/>
      </c>
      <c r="M109" s="8"/>
      <c r="N109" s="7"/>
    </row>
    <row r="110" spans="1:14">
      <c r="A110" s="9" t="str">
        <f t="shared" si="6"/>
        <v/>
      </c>
      <c r="B110" s="8"/>
      <c r="C110" s="7"/>
      <c r="D110" s="7"/>
      <c r="E110" s="7"/>
      <c r="F110" s="8"/>
      <c r="G110" s="8"/>
      <c r="H110" s="8"/>
      <c r="I110" s="8"/>
      <c r="J110" s="8"/>
      <c r="K110" s="10" t="str">
        <f>IF(OR(I110="",J110=""),"",IFERROR(VLOOKUP(I110,'99_Lookups'!$A$2:$B$4,2,FALSE),"")*IFERROR(VLOOKUP(J110,'99_Lookups'!$A$2:$B$4,2,FALSE),""))</f>
        <v/>
      </c>
      <c r="L110" s="5" t="str">
        <f t="shared" si="7"/>
        <v/>
      </c>
      <c r="M110" s="8"/>
      <c r="N110" s="7"/>
    </row>
    <row r="111" spans="1:14">
      <c r="A111" s="9" t="str">
        <f t="shared" si="6"/>
        <v/>
      </c>
      <c r="B111" s="8"/>
      <c r="C111" s="7"/>
      <c r="D111" s="7"/>
      <c r="E111" s="7"/>
      <c r="F111" s="8"/>
      <c r="G111" s="8"/>
      <c r="H111" s="8"/>
      <c r="I111" s="8"/>
      <c r="J111" s="8"/>
      <c r="K111" s="10" t="str">
        <f>IF(OR(I111="",J111=""),"",IFERROR(VLOOKUP(I111,'99_Lookups'!$A$2:$B$4,2,FALSE),"")*IFERROR(VLOOKUP(J111,'99_Lookups'!$A$2:$B$4,2,FALSE),""))</f>
        <v/>
      </c>
      <c r="L111" s="5" t="str">
        <f t="shared" si="7"/>
        <v/>
      </c>
      <c r="M111" s="8"/>
      <c r="N111" s="7"/>
    </row>
    <row r="112" spans="1:14">
      <c r="A112" s="9" t="str">
        <f t="shared" si="6"/>
        <v/>
      </c>
      <c r="B112" s="8"/>
      <c r="C112" s="7"/>
      <c r="D112" s="7"/>
      <c r="E112" s="7"/>
      <c r="F112" s="8"/>
      <c r="G112" s="8"/>
      <c r="H112" s="8"/>
      <c r="I112" s="8"/>
      <c r="J112" s="8"/>
      <c r="K112" s="10" t="str">
        <f>IF(OR(I112="",J112=""),"",IFERROR(VLOOKUP(I112,'99_Lookups'!$A$2:$B$4,2,FALSE),"")*IFERROR(VLOOKUP(J112,'99_Lookups'!$A$2:$B$4,2,FALSE),""))</f>
        <v/>
      </c>
      <c r="L112" s="5" t="str">
        <f t="shared" si="7"/>
        <v/>
      </c>
      <c r="M112" s="8"/>
      <c r="N112" s="7"/>
    </row>
    <row r="113" spans="1:14">
      <c r="A113" s="9" t="str">
        <f t="shared" si="6"/>
        <v/>
      </c>
      <c r="B113" s="8"/>
      <c r="C113" s="7"/>
      <c r="D113" s="7"/>
      <c r="E113" s="7"/>
      <c r="F113" s="8"/>
      <c r="G113" s="8"/>
      <c r="H113" s="8"/>
      <c r="I113" s="8"/>
      <c r="J113" s="8"/>
      <c r="K113" s="10" t="str">
        <f>IF(OR(I113="",J113=""),"",IFERROR(VLOOKUP(I113,'99_Lookups'!$A$2:$B$4,2,FALSE),"")*IFERROR(VLOOKUP(J113,'99_Lookups'!$A$2:$B$4,2,FALSE),""))</f>
        <v/>
      </c>
      <c r="L113" s="5" t="str">
        <f t="shared" si="7"/>
        <v/>
      </c>
      <c r="M113" s="8"/>
      <c r="N113" s="7"/>
    </row>
    <row r="114" spans="1:14">
      <c r="A114" s="9" t="str">
        <f t="shared" si="6"/>
        <v/>
      </c>
      <c r="B114" s="8"/>
      <c r="C114" s="7"/>
      <c r="D114" s="7"/>
      <c r="E114" s="7"/>
      <c r="F114" s="8"/>
      <c r="G114" s="8"/>
      <c r="H114" s="8"/>
      <c r="I114" s="8"/>
      <c r="J114" s="8"/>
      <c r="K114" s="10" t="str">
        <f>IF(OR(I114="",J114=""),"",IFERROR(VLOOKUP(I114,'99_Lookups'!$A$2:$B$4,2,FALSE),"")*IFERROR(VLOOKUP(J114,'99_Lookups'!$A$2:$B$4,2,FALSE),""))</f>
        <v/>
      </c>
      <c r="L114" s="5" t="str">
        <f t="shared" si="7"/>
        <v/>
      </c>
      <c r="M114" s="8"/>
      <c r="N114" s="7"/>
    </row>
    <row r="115" spans="1:14">
      <c r="A115" s="9" t="str">
        <f t="shared" si="6"/>
        <v/>
      </c>
      <c r="B115" s="8"/>
      <c r="C115" s="7"/>
      <c r="D115" s="7"/>
      <c r="E115" s="7"/>
      <c r="F115" s="8"/>
      <c r="G115" s="8"/>
      <c r="H115" s="8"/>
      <c r="I115" s="8"/>
      <c r="J115" s="8"/>
      <c r="K115" s="10" t="str">
        <f>IF(OR(I115="",J115=""),"",IFERROR(VLOOKUP(I115,'99_Lookups'!$A$2:$B$4,2,FALSE),"")*IFERROR(VLOOKUP(J115,'99_Lookups'!$A$2:$B$4,2,FALSE),""))</f>
        <v/>
      </c>
      <c r="L115" s="5" t="str">
        <f t="shared" si="7"/>
        <v/>
      </c>
      <c r="M115" s="8"/>
      <c r="N115" s="7"/>
    </row>
    <row r="116" spans="1:14">
      <c r="A116" s="9" t="str">
        <f t="shared" si="6"/>
        <v/>
      </c>
      <c r="B116" s="8"/>
      <c r="C116" s="7"/>
      <c r="D116" s="7"/>
      <c r="E116" s="7"/>
      <c r="F116" s="8"/>
      <c r="G116" s="8"/>
      <c r="H116" s="8"/>
      <c r="I116" s="8"/>
      <c r="J116" s="8"/>
      <c r="K116" s="10" t="str">
        <f>IF(OR(I116="",J116=""),"",IFERROR(VLOOKUP(I116,'99_Lookups'!$A$2:$B$4,2,FALSE),"")*IFERROR(VLOOKUP(J116,'99_Lookups'!$A$2:$B$4,2,FALSE),""))</f>
        <v/>
      </c>
      <c r="L116" s="5" t="str">
        <f t="shared" si="7"/>
        <v/>
      </c>
      <c r="M116" s="8"/>
      <c r="N116" s="7"/>
    </row>
    <row r="117" spans="1:14">
      <c r="A117" s="9" t="str">
        <f t="shared" si="6"/>
        <v/>
      </c>
      <c r="B117" s="8"/>
      <c r="C117" s="7"/>
      <c r="D117" s="7"/>
      <c r="E117" s="7"/>
      <c r="F117" s="8"/>
      <c r="G117" s="8"/>
      <c r="H117" s="8"/>
      <c r="I117" s="8"/>
      <c r="J117" s="8"/>
      <c r="K117" s="10" t="str">
        <f>IF(OR(I117="",J117=""),"",IFERROR(VLOOKUP(I117,'99_Lookups'!$A$2:$B$4,2,FALSE),"")*IFERROR(VLOOKUP(J117,'99_Lookups'!$A$2:$B$4,2,FALSE),""))</f>
        <v/>
      </c>
      <c r="L117" s="5" t="str">
        <f t="shared" si="7"/>
        <v/>
      </c>
      <c r="M117" s="8"/>
      <c r="N117" s="7"/>
    </row>
    <row r="118" spans="1:14">
      <c r="A118" s="9" t="str">
        <f t="shared" si="6"/>
        <v/>
      </c>
      <c r="B118" s="8"/>
      <c r="C118" s="7"/>
      <c r="D118" s="7"/>
      <c r="E118" s="7"/>
      <c r="F118" s="8"/>
      <c r="G118" s="8"/>
      <c r="H118" s="8"/>
      <c r="I118" s="8"/>
      <c r="J118" s="8"/>
      <c r="K118" s="10" t="str">
        <f>IF(OR(I118="",J118=""),"",IFERROR(VLOOKUP(I118,'99_Lookups'!$A$2:$B$4,2,FALSE),"")*IFERROR(VLOOKUP(J118,'99_Lookups'!$A$2:$B$4,2,FALSE),""))</f>
        <v/>
      </c>
      <c r="L118" s="5" t="str">
        <f t="shared" si="7"/>
        <v/>
      </c>
      <c r="M118" s="8"/>
      <c r="N118" s="7"/>
    </row>
    <row r="119" spans="1:14">
      <c r="A119" s="9" t="str">
        <f t="shared" si="6"/>
        <v/>
      </c>
      <c r="B119" s="8"/>
      <c r="C119" s="7"/>
      <c r="D119" s="7"/>
      <c r="E119" s="7"/>
      <c r="F119" s="8"/>
      <c r="G119" s="8"/>
      <c r="H119" s="8"/>
      <c r="I119" s="8"/>
      <c r="J119" s="8"/>
      <c r="K119" s="10" t="str">
        <f>IF(OR(I119="",J119=""),"",IFERROR(VLOOKUP(I119,'99_Lookups'!$A$2:$B$4,2,FALSE),"")*IFERROR(VLOOKUP(J119,'99_Lookups'!$A$2:$B$4,2,FALSE),""))</f>
        <v/>
      </c>
      <c r="L119" s="5" t="str">
        <f t="shared" si="7"/>
        <v/>
      </c>
      <c r="M119" s="8"/>
      <c r="N119" s="7"/>
    </row>
    <row r="120" spans="1:14">
      <c r="A120" s="9" t="str">
        <f t="shared" si="6"/>
        <v/>
      </c>
      <c r="B120" s="8"/>
      <c r="C120" s="7"/>
      <c r="D120" s="7"/>
      <c r="E120" s="7"/>
      <c r="F120" s="8"/>
      <c r="G120" s="8"/>
      <c r="H120" s="8"/>
      <c r="I120" s="8"/>
      <c r="J120" s="8"/>
      <c r="K120" s="10" t="str">
        <f>IF(OR(I120="",J120=""),"",IFERROR(VLOOKUP(I120,'99_Lookups'!$A$2:$B$4,2,FALSE),"")*IFERROR(VLOOKUP(J120,'99_Lookups'!$A$2:$B$4,2,FALSE),""))</f>
        <v/>
      </c>
      <c r="L120" s="5" t="str">
        <f t="shared" si="7"/>
        <v/>
      </c>
      <c r="M120" s="8"/>
      <c r="N120" s="7"/>
    </row>
    <row r="121" spans="1:14">
      <c r="A121" s="9" t="str">
        <f t="shared" si="6"/>
        <v/>
      </c>
      <c r="B121" s="8"/>
      <c r="C121" s="7"/>
      <c r="D121" s="7"/>
      <c r="E121" s="7"/>
      <c r="F121" s="8"/>
      <c r="G121" s="8"/>
      <c r="H121" s="8"/>
      <c r="I121" s="8"/>
      <c r="J121" s="8"/>
      <c r="K121" s="10" t="str">
        <f>IF(OR(I121="",J121=""),"",IFERROR(VLOOKUP(I121,'99_Lookups'!$A$2:$B$4,2,FALSE),"")*IFERROR(VLOOKUP(J121,'99_Lookups'!$A$2:$B$4,2,FALSE),""))</f>
        <v/>
      </c>
      <c r="L121" s="5" t="str">
        <f t="shared" si="7"/>
        <v/>
      </c>
      <c r="M121" s="8"/>
      <c r="N121" s="7"/>
    </row>
    <row r="122" spans="1:14">
      <c r="A122" s="9" t="str">
        <f t="shared" si="6"/>
        <v/>
      </c>
      <c r="B122" s="8"/>
      <c r="C122" s="7"/>
      <c r="D122" s="7"/>
      <c r="E122" s="7"/>
      <c r="F122" s="8"/>
      <c r="G122" s="8"/>
      <c r="H122" s="8"/>
      <c r="I122" s="8"/>
      <c r="J122" s="8"/>
      <c r="K122" s="10" t="str">
        <f>IF(OR(I122="",J122=""),"",IFERROR(VLOOKUP(I122,'99_Lookups'!$A$2:$B$4,2,FALSE),"")*IFERROR(VLOOKUP(J122,'99_Lookups'!$A$2:$B$4,2,FALSE),""))</f>
        <v/>
      </c>
      <c r="L122" s="5" t="str">
        <f t="shared" si="7"/>
        <v/>
      </c>
      <c r="M122" s="8"/>
      <c r="N122" s="7"/>
    </row>
    <row r="123" spans="1:14">
      <c r="A123" s="9" t="str">
        <f t="shared" si="6"/>
        <v/>
      </c>
      <c r="B123" s="8"/>
      <c r="C123" s="7"/>
      <c r="D123" s="7"/>
      <c r="E123" s="7"/>
      <c r="F123" s="8"/>
      <c r="G123" s="8"/>
      <c r="H123" s="8"/>
      <c r="I123" s="8"/>
      <c r="J123" s="8"/>
      <c r="K123" s="10" t="str">
        <f>IF(OR(I123="",J123=""),"",IFERROR(VLOOKUP(I123,'99_Lookups'!$A$2:$B$4,2,FALSE),"")*IFERROR(VLOOKUP(J123,'99_Lookups'!$A$2:$B$4,2,FALSE),""))</f>
        <v/>
      </c>
      <c r="L123" s="5" t="str">
        <f t="shared" si="7"/>
        <v/>
      </c>
      <c r="M123" s="8"/>
      <c r="N123" s="7"/>
    </row>
    <row r="124" spans="1:14">
      <c r="A124" s="9" t="str">
        <f t="shared" si="6"/>
        <v/>
      </c>
      <c r="B124" s="8"/>
      <c r="C124" s="7"/>
      <c r="D124" s="7"/>
      <c r="E124" s="7"/>
      <c r="F124" s="8"/>
      <c r="G124" s="8"/>
      <c r="H124" s="8"/>
      <c r="I124" s="8"/>
      <c r="J124" s="8"/>
      <c r="K124" s="10" t="str">
        <f>IF(OR(I124="",J124=""),"",IFERROR(VLOOKUP(I124,'99_Lookups'!$A$2:$B$4,2,FALSE),"")*IFERROR(VLOOKUP(J124,'99_Lookups'!$A$2:$B$4,2,FALSE),""))</f>
        <v/>
      </c>
      <c r="L124" s="5" t="str">
        <f t="shared" si="7"/>
        <v/>
      </c>
      <c r="M124" s="8"/>
      <c r="N124" s="7"/>
    </row>
    <row r="125" spans="1:14">
      <c r="A125" s="9" t="str">
        <f t="shared" si="6"/>
        <v/>
      </c>
      <c r="B125" s="8"/>
      <c r="C125" s="7"/>
      <c r="D125" s="7"/>
      <c r="E125" s="7"/>
      <c r="F125" s="8"/>
      <c r="G125" s="8"/>
      <c r="H125" s="8"/>
      <c r="I125" s="8"/>
      <c r="J125" s="8"/>
      <c r="K125" s="10" t="str">
        <f>IF(OR(I125="",J125=""),"",IFERROR(VLOOKUP(I125,'99_Lookups'!$A$2:$B$4,2,FALSE),"")*IFERROR(VLOOKUP(J125,'99_Lookups'!$A$2:$B$4,2,FALSE),""))</f>
        <v/>
      </c>
      <c r="L125" s="5" t="str">
        <f t="shared" si="7"/>
        <v/>
      </c>
      <c r="M125" s="8"/>
      <c r="N125" s="7"/>
    </row>
    <row r="126" spans="1:14">
      <c r="A126" s="9" t="str">
        <f t="shared" si="6"/>
        <v/>
      </c>
      <c r="B126" s="8"/>
      <c r="C126" s="7"/>
      <c r="D126" s="7"/>
      <c r="E126" s="7"/>
      <c r="F126" s="8"/>
      <c r="G126" s="8"/>
      <c r="H126" s="8"/>
      <c r="I126" s="8"/>
      <c r="J126" s="8"/>
      <c r="K126" s="10" t="str">
        <f>IF(OR(I126="",J126=""),"",IFERROR(VLOOKUP(I126,'99_Lookups'!$A$2:$B$4,2,FALSE),"")*IFERROR(VLOOKUP(J126,'99_Lookups'!$A$2:$B$4,2,FALSE),""))</f>
        <v/>
      </c>
      <c r="L126" s="5" t="str">
        <f t="shared" si="7"/>
        <v/>
      </c>
      <c r="M126" s="8"/>
      <c r="N126" s="7"/>
    </row>
    <row r="127" spans="1:14">
      <c r="A127" s="9" t="str">
        <f t="shared" si="6"/>
        <v/>
      </c>
      <c r="B127" s="8"/>
      <c r="C127" s="7"/>
      <c r="D127" s="7"/>
      <c r="E127" s="7"/>
      <c r="F127" s="8"/>
      <c r="G127" s="8"/>
      <c r="H127" s="8"/>
      <c r="I127" s="8"/>
      <c r="J127" s="8"/>
      <c r="K127" s="10" t="str">
        <f>IF(OR(I127="",J127=""),"",IFERROR(VLOOKUP(I127,'99_Lookups'!$A$2:$B$4,2,FALSE),"")*IFERROR(VLOOKUP(J127,'99_Lookups'!$A$2:$B$4,2,FALSE),""))</f>
        <v/>
      </c>
      <c r="L127" s="5" t="str">
        <f t="shared" si="7"/>
        <v/>
      </c>
      <c r="M127" s="8"/>
      <c r="N127" s="7"/>
    </row>
    <row r="128" spans="1:14">
      <c r="A128" s="9" t="str">
        <f t="shared" si="6"/>
        <v/>
      </c>
      <c r="B128" s="8"/>
      <c r="C128" s="7"/>
      <c r="D128" s="7"/>
      <c r="E128" s="7"/>
      <c r="F128" s="8"/>
      <c r="G128" s="8"/>
      <c r="H128" s="8"/>
      <c r="I128" s="8"/>
      <c r="J128" s="8"/>
      <c r="K128" s="10" t="str">
        <f>IF(OR(I128="",J128=""),"",IFERROR(VLOOKUP(I128,'99_Lookups'!$A$2:$B$4,2,FALSE),"")*IFERROR(VLOOKUP(J128,'99_Lookups'!$A$2:$B$4,2,FALSE),""))</f>
        <v/>
      </c>
      <c r="L128" s="5" t="str">
        <f t="shared" si="7"/>
        <v/>
      </c>
      <c r="M128" s="8"/>
      <c r="N128" s="7"/>
    </row>
    <row r="129" spans="1:14">
      <c r="A129" s="9" t="str">
        <f t="shared" si="6"/>
        <v/>
      </c>
      <c r="B129" s="8"/>
      <c r="C129" s="7"/>
      <c r="D129" s="7"/>
      <c r="E129" s="7"/>
      <c r="F129" s="8"/>
      <c r="G129" s="8"/>
      <c r="H129" s="8"/>
      <c r="I129" s="8"/>
      <c r="J129" s="8"/>
      <c r="K129" s="10" t="str">
        <f>IF(OR(I129="",J129=""),"",IFERROR(VLOOKUP(I129,'99_Lookups'!$A$2:$B$4,2,FALSE),"")*IFERROR(VLOOKUP(J129,'99_Lookups'!$A$2:$B$4,2,FALSE),""))</f>
        <v/>
      </c>
      <c r="L129" s="5" t="str">
        <f t="shared" si="7"/>
        <v/>
      </c>
      <c r="M129" s="8"/>
      <c r="N129" s="7"/>
    </row>
    <row r="130" spans="1:14">
      <c r="A130" s="9" t="str">
        <f t="shared" ref="A130:A161" si="8">IF(COUNTA(C130:E130)&gt;0,"R"&amp;ROW()-1,"")</f>
        <v/>
      </c>
      <c r="B130" s="8"/>
      <c r="C130" s="7"/>
      <c r="D130" s="7"/>
      <c r="E130" s="7"/>
      <c r="F130" s="8"/>
      <c r="G130" s="8"/>
      <c r="H130" s="8"/>
      <c r="I130" s="8"/>
      <c r="J130" s="8"/>
      <c r="K130" s="10" t="str">
        <f>IF(OR(I130="",J130=""),"",IFERROR(VLOOKUP(I130,'99_Lookups'!$A$2:$B$4,2,FALSE),"")*IFERROR(VLOOKUP(J130,'99_Lookups'!$A$2:$B$4,2,FALSE),""))</f>
        <v/>
      </c>
      <c r="L130" s="5" t="str">
        <f t="shared" ref="L130:L161" si="9">IF(K130="","",IF(K130&lt;=3,"Laag",IF(K130&lt;=6,"Midden","Hoog")))</f>
        <v/>
      </c>
      <c r="M130" s="8"/>
      <c r="N130" s="7"/>
    </row>
    <row r="131" spans="1:14">
      <c r="A131" s="9" t="str">
        <f t="shared" si="8"/>
        <v/>
      </c>
      <c r="B131" s="8"/>
      <c r="C131" s="7"/>
      <c r="D131" s="7"/>
      <c r="E131" s="7"/>
      <c r="F131" s="8"/>
      <c r="G131" s="8"/>
      <c r="H131" s="8"/>
      <c r="I131" s="8"/>
      <c r="J131" s="8"/>
      <c r="K131" s="10" t="str">
        <f>IF(OR(I131="",J131=""),"",IFERROR(VLOOKUP(I131,'99_Lookups'!$A$2:$B$4,2,FALSE),"")*IFERROR(VLOOKUP(J131,'99_Lookups'!$A$2:$B$4,2,FALSE),""))</f>
        <v/>
      </c>
      <c r="L131" s="5" t="str">
        <f t="shared" si="9"/>
        <v/>
      </c>
      <c r="M131" s="8"/>
      <c r="N131" s="7"/>
    </row>
    <row r="132" spans="1:14">
      <c r="A132" s="9" t="str">
        <f t="shared" si="8"/>
        <v/>
      </c>
      <c r="B132" s="8"/>
      <c r="C132" s="7"/>
      <c r="D132" s="7"/>
      <c r="E132" s="7"/>
      <c r="F132" s="8"/>
      <c r="G132" s="8"/>
      <c r="H132" s="8"/>
      <c r="I132" s="8"/>
      <c r="J132" s="8"/>
      <c r="K132" s="10" t="str">
        <f>IF(OR(I132="",J132=""),"",IFERROR(VLOOKUP(I132,'99_Lookups'!$A$2:$B$4,2,FALSE),"")*IFERROR(VLOOKUP(J132,'99_Lookups'!$A$2:$B$4,2,FALSE),""))</f>
        <v/>
      </c>
      <c r="L132" s="5" t="str">
        <f t="shared" si="9"/>
        <v/>
      </c>
      <c r="M132" s="8"/>
      <c r="N132" s="7"/>
    </row>
    <row r="133" spans="1:14">
      <c r="A133" s="9" t="str">
        <f t="shared" si="8"/>
        <v/>
      </c>
      <c r="B133" s="8"/>
      <c r="C133" s="7"/>
      <c r="D133" s="7"/>
      <c r="E133" s="7"/>
      <c r="F133" s="8"/>
      <c r="G133" s="8"/>
      <c r="H133" s="8"/>
      <c r="I133" s="8"/>
      <c r="J133" s="8"/>
      <c r="K133" s="10" t="str">
        <f>IF(OR(I133="",J133=""),"",IFERROR(VLOOKUP(I133,'99_Lookups'!$A$2:$B$4,2,FALSE),"")*IFERROR(VLOOKUP(J133,'99_Lookups'!$A$2:$B$4,2,FALSE),""))</f>
        <v/>
      </c>
      <c r="L133" s="5" t="str">
        <f t="shared" si="9"/>
        <v/>
      </c>
      <c r="M133" s="8"/>
      <c r="N133" s="7"/>
    </row>
    <row r="134" spans="1:14">
      <c r="A134" s="9" t="str">
        <f t="shared" si="8"/>
        <v/>
      </c>
      <c r="B134" s="8"/>
      <c r="C134" s="7"/>
      <c r="D134" s="7"/>
      <c r="E134" s="7"/>
      <c r="F134" s="8"/>
      <c r="G134" s="8"/>
      <c r="H134" s="8"/>
      <c r="I134" s="8"/>
      <c r="J134" s="8"/>
      <c r="K134" s="10" t="str">
        <f>IF(OR(I134="",J134=""),"",IFERROR(VLOOKUP(I134,'99_Lookups'!$A$2:$B$4,2,FALSE),"")*IFERROR(VLOOKUP(J134,'99_Lookups'!$A$2:$B$4,2,FALSE),""))</f>
        <v/>
      </c>
      <c r="L134" s="5" t="str">
        <f t="shared" si="9"/>
        <v/>
      </c>
      <c r="M134" s="8"/>
      <c r="N134" s="7"/>
    </row>
    <row r="135" spans="1:14">
      <c r="A135" s="9" t="str">
        <f t="shared" si="8"/>
        <v/>
      </c>
      <c r="B135" s="8"/>
      <c r="C135" s="7"/>
      <c r="D135" s="7"/>
      <c r="E135" s="7"/>
      <c r="F135" s="8"/>
      <c r="G135" s="8"/>
      <c r="H135" s="8"/>
      <c r="I135" s="8"/>
      <c r="J135" s="8"/>
      <c r="K135" s="10" t="str">
        <f>IF(OR(I135="",J135=""),"",IFERROR(VLOOKUP(I135,'99_Lookups'!$A$2:$B$4,2,FALSE),"")*IFERROR(VLOOKUP(J135,'99_Lookups'!$A$2:$B$4,2,FALSE),""))</f>
        <v/>
      </c>
      <c r="L135" s="5" t="str">
        <f t="shared" si="9"/>
        <v/>
      </c>
      <c r="M135" s="8"/>
      <c r="N135" s="7"/>
    </row>
    <row r="136" spans="1:14">
      <c r="A136" s="9" t="str">
        <f t="shared" si="8"/>
        <v/>
      </c>
      <c r="B136" s="8"/>
      <c r="C136" s="7"/>
      <c r="D136" s="7"/>
      <c r="E136" s="7"/>
      <c r="F136" s="8"/>
      <c r="G136" s="8"/>
      <c r="H136" s="8"/>
      <c r="I136" s="8"/>
      <c r="J136" s="8"/>
      <c r="K136" s="10" t="str">
        <f>IF(OR(I136="",J136=""),"",IFERROR(VLOOKUP(I136,'99_Lookups'!$A$2:$B$4,2,FALSE),"")*IFERROR(VLOOKUP(J136,'99_Lookups'!$A$2:$B$4,2,FALSE),""))</f>
        <v/>
      </c>
      <c r="L136" s="5" t="str">
        <f t="shared" si="9"/>
        <v/>
      </c>
      <c r="M136" s="8"/>
      <c r="N136" s="7"/>
    </row>
    <row r="137" spans="1:14">
      <c r="A137" s="9" t="str">
        <f t="shared" si="8"/>
        <v/>
      </c>
      <c r="B137" s="8"/>
      <c r="C137" s="7"/>
      <c r="D137" s="7"/>
      <c r="E137" s="7"/>
      <c r="F137" s="8"/>
      <c r="G137" s="8"/>
      <c r="H137" s="8"/>
      <c r="I137" s="8"/>
      <c r="J137" s="8"/>
      <c r="K137" s="10" t="str">
        <f>IF(OR(I137="",J137=""),"",IFERROR(VLOOKUP(I137,'99_Lookups'!$A$2:$B$4,2,FALSE),"")*IFERROR(VLOOKUP(J137,'99_Lookups'!$A$2:$B$4,2,FALSE),""))</f>
        <v/>
      </c>
      <c r="L137" s="5" t="str">
        <f t="shared" si="9"/>
        <v/>
      </c>
      <c r="M137" s="8"/>
      <c r="N137" s="7"/>
    </row>
    <row r="138" spans="1:14">
      <c r="A138" s="9" t="str">
        <f t="shared" si="8"/>
        <v/>
      </c>
      <c r="B138" s="8"/>
      <c r="C138" s="7"/>
      <c r="D138" s="7"/>
      <c r="E138" s="7"/>
      <c r="F138" s="8"/>
      <c r="G138" s="8"/>
      <c r="H138" s="8"/>
      <c r="I138" s="8"/>
      <c r="J138" s="8"/>
      <c r="K138" s="10" t="str">
        <f>IF(OR(I138="",J138=""),"",IFERROR(VLOOKUP(I138,'99_Lookups'!$A$2:$B$4,2,FALSE),"")*IFERROR(VLOOKUP(J138,'99_Lookups'!$A$2:$B$4,2,FALSE),""))</f>
        <v/>
      </c>
      <c r="L138" s="5" t="str">
        <f t="shared" si="9"/>
        <v/>
      </c>
      <c r="M138" s="8"/>
      <c r="N138" s="7"/>
    </row>
    <row r="139" spans="1:14">
      <c r="A139" s="9" t="str">
        <f t="shared" si="8"/>
        <v/>
      </c>
      <c r="B139" s="8"/>
      <c r="C139" s="7"/>
      <c r="D139" s="7"/>
      <c r="E139" s="7"/>
      <c r="F139" s="8"/>
      <c r="G139" s="8"/>
      <c r="H139" s="8"/>
      <c r="I139" s="8"/>
      <c r="J139" s="8"/>
      <c r="K139" s="10" t="str">
        <f>IF(OR(I139="",J139=""),"",IFERROR(VLOOKUP(I139,'99_Lookups'!$A$2:$B$4,2,FALSE),"")*IFERROR(VLOOKUP(J139,'99_Lookups'!$A$2:$B$4,2,FALSE),""))</f>
        <v/>
      </c>
      <c r="L139" s="5" t="str">
        <f t="shared" si="9"/>
        <v/>
      </c>
      <c r="M139" s="8"/>
      <c r="N139" s="7"/>
    </row>
    <row r="140" spans="1:14">
      <c r="A140" s="9" t="str">
        <f t="shared" si="8"/>
        <v/>
      </c>
      <c r="B140" s="8"/>
      <c r="C140" s="7"/>
      <c r="D140" s="7"/>
      <c r="E140" s="7"/>
      <c r="F140" s="8"/>
      <c r="G140" s="8"/>
      <c r="H140" s="8"/>
      <c r="I140" s="8"/>
      <c r="J140" s="8"/>
      <c r="K140" s="10" t="str">
        <f>IF(OR(I140="",J140=""),"",IFERROR(VLOOKUP(I140,'99_Lookups'!$A$2:$B$4,2,FALSE),"")*IFERROR(VLOOKUP(J140,'99_Lookups'!$A$2:$B$4,2,FALSE),""))</f>
        <v/>
      </c>
      <c r="L140" s="5" t="str">
        <f t="shared" si="9"/>
        <v/>
      </c>
      <c r="M140" s="8"/>
      <c r="N140" s="7"/>
    </row>
    <row r="141" spans="1:14">
      <c r="A141" s="9" t="str">
        <f t="shared" si="8"/>
        <v/>
      </c>
      <c r="B141" s="8"/>
      <c r="C141" s="7"/>
      <c r="D141" s="7"/>
      <c r="E141" s="7"/>
      <c r="F141" s="8"/>
      <c r="G141" s="8"/>
      <c r="H141" s="8"/>
      <c r="I141" s="8"/>
      <c r="J141" s="8"/>
      <c r="K141" s="10" t="str">
        <f>IF(OR(I141="",J141=""),"",IFERROR(VLOOKUP(I141,'99_Lookups'!$A$2:$B$4,2,FALSE),"")*IFERROR(VLOOKUP(J141,'99_Lookups'!$A$2:$B$4,2,FALSE),""))</f>
        <v/>
      </c>
      <c r="L141" s="5" t="str">
        <f t="shared" si="9"/>
        <v/>
      </c>
      <c r="M141" s="8"/>
      <c r="N141" s="7"/>
    </row>
    <row r="142" spans="1:14">
      <c r="A142" s="9" t="str">
        <f t="shared" si="8"/>
        <v/>
      </c>
      <c r="B142" s="8"/>
      <c r="C142" s="7"/>
      <c r="D142" s="7"/>
      <c r="E142" s="7"/>
      <c r="F142" s="8"/>
      <c r="G142" s="8"/>
      <c r="H142" s="8"/>
      <c r="I142" s="8"/>
      <c r="J142" s="8"/>
      <c r="K142" s="10" t="str">
        <f>IF(OR(I142="",J142=""),"",IFERROR(VLOOKUP(I142,'99_Lookups'!$A$2:$B$4,2,FALSE),"")*IFERROR(VLOOKUP(J142,'99_Lookups'!$A$2:$B$4,2,FALSE),""))</f>
        <v/>
      </c>
      <c r="L142" s="5" t="str">
        <f t="shared" si="9"/>
        <v/>
      </c>
      <c r="M142" s="8"/>
      <c r="N142" s="7"/>
    </row>
    <row r="143" spans="1:14">
      <c r="A143" s="9" t="str">
        <f t="shared" si="8"/>
        <v/>
      </c>
      <c r="B143" s="8"/>
      <c r="C143" s="7"/>
      <c r="D143" s="7"/>
      <c r="E143" s="7"/>
      <c r="F143" s="8"/>
      <c r="G143" s="8"/>
      <c r="H143" s="8"/>
      <c r="I143" s="8"/>
      <c r="J143" s="8"/>
      <c r="K143" s="10" t="str">
        <f>IF(OR(I143="",J143=""),"",IFERROR(VLOOKUP(I143,'99_Lookups'!$A$2:$B$4,2,FALSE),"")*IFERROR(VLOOKUP(J143,'99_Lookups'!$A$2:$B$4,2,FALSE),""))</f>
        <v/>
      </c>
      <c r="L143" s="5" t="str">
        <f t="shared" si="9"/>
        <v/>
      </c>
      <c r="M143" s="8"/>
      <c r="N143" s="7"/>
    </row>
    <row r="144" spans="1:14">
      <c r="A144" s="9" t="str">
        <f t="shared" si="8"/>
        <v/>
      </c>
      <c r="B144" s="8"/>
      <c r="C144" s="7"/>
      <c r="D144" s="7"/>
      <c r="E144" s="7"/>
      <c r="F144" s="8"/>
      <c r="G144" s="8"/>
      <c r="H144" s="8"/>
      <c r="I144" s="8"/>
      <c r="J144" s="8"/>
      <c r="K144" s="10" t="str">
        <f>IF(OR(I144="",J144=""),"",IFERROR(VLOOKUP(I144,'99_Lookups'!$A$2:$B$4,2,FALSE),"")*IFERROR(VLOOKUP(J144,'99_Lookups'!$A$2:$B$4,2,FALSE),""))</f>
        <v/>
      </c>
      <c r="L144" s="5" t="str">
        <f t="shared" si="9"/>
        <v/>
      </c>
      <c r="M144" s="8"/>
      <c r="N144" s="7"/>
    </row>
    <row r="145" spans="1:14">
      <c r="A145" s="9" t="str">
        <f t="shared" si="8"/>
        <v/>
      </c>
      <c r="B145" s="8"/>
      <c r="C145" s="7"/>
      <c r="D145" s="7"/>
      <c r="E145" s="7"/>
      <c r="F145" s="8"/>
      <c r="G145" s="8"/>
      <c r="H145" s="8"/>
      <c r="I145" s="8"/>
      <c r="J145" s="8"/>
      <c r="K145" s="10" t="str">
        <f>IF(OR(I145="",J145=""),"",IFERROR(VLOOKUP(I145,'99_Lookups'!$A$2:$B$4,2,FALSE),"")*IFERROR(VLOOKUP(J145,'99_Lookups'!$A$2:$B$4,2,FALSE),""))</f>
        <v/>
      </c>
      <c r="L145" s="5" t="str">
        <f t="shared" si="9"/>
        <v/>
      </c>
      <c r="M145" s="8"/>
      <c r="N145" s="7"/>
    </row>
    <row r="146" spans="1:14">
      <c r="A146" s="9" t="str">
        <f t="shared" si="8"/>
        <v/>
      </c>
      <c r="B146" s="8"/>
      <c r="C146" s="7"/>
      <c r="D146" s="7"/>
      <c r="E146" s="7"/>
      <c r="F146" s="8"/>
      <c r="G146" s="8"/>
      <c r="H146" s="8"/>
      <c r="I146" s="8"/>
      <c r="J146" s="8"/>
      <c r="K146" s="10" t="str">
        <f>IF(OR(I146="",J146=""),"",IFERROR(VLOOKUP(I146,'99_Lookups'!$A$2:$B$4,2,FALSE),"")*IFERROR(VLOOKUP(J146,'99_Lookups'!$A$2:$B$4,2,FALSE),""))</f>
        <v/>
      </c>
      <c r="L146" s="5" t="str">
        <f t="shared" si="9"/>
        <v/>
      </c>
      <c r="M146" s="8"/>
      <c r="N146" s="7"/>
    </row>
    <row r="147" spans="1:14">
      <c r="A147" s="9" t="str">
        <f t="shared" si="8"/>
        <v/>
      </c>
      <c r="B147" s="8"/>
      <c r="C147" s="7"/>
      <c r="D147" s="7"/>
      <c r="E147" s="7"/>
      <c r="F147" s="8"/>
      <c r="G147" s="8"/>
      <c r="H147" s="8"/>
      <c r="I147" s="8"/>
      <c r="J147" s="8"/>
      <c r="K147" s="10" t="str">
        <f>IF(OR(I147="",J147=""),"",IFERROR(VLOOKUP(I147,'99_Lookups'!$A$2:$B$4,2,FALSE),"")*IFERROR(VLOOKUP(J147,'99_Lookups'!$A$2:$B$4,2,FALSE),""))</f>
        <v/>
      </c>
      <c r="L147" s="5" t="str">
        <f t="shared" si="9"/>
        <v/>
      </c>
      <c r="M147" s="8"/>
      <c r="N147" s="7"/>
    </row>
    <row r="148" spans="1:14">
      <c r="A148" s="9" t="str">
        <f t="shared" si="8"/>
        <v/>
      </c>
      <c r="B148" s="8"/>
      <c r="C148" s="7"/>
      <c r="D148" s="7"/>
      <c r="E148" s="7"/>
      <c r="F148" s="8"/>
      <c r="G148" s="8"/>
      <c r="H148" s="8"/>
      <c r="I148" s="8"/>
      <c r="J148" s="8"/>
      <c r="K148" s="10" t="str">
        <f>IF(OR(I148="",J148=""),"",IFERROR(VLOOKUP(I148,'99_Lookups'!$A$2:$B$4,2,FALSE),"")*IFERROR(VLOOKUP(J148,'99_Lookups'!$A$2:$B$4,2,FALSE),""))</f>
        <v/>
      </c>
      <c r="L148" s="5" t="str">
        <f t="shared" si="9"/>
        <v/>
      </c>
      <c r="M148" s="8"/>
      <c r="N148" s="7"/>
    </row>
    <row r="149" spans="1:14">
      <c r="A149" s="9" t="str">
        <f t="shared" si="8"/>
        <v/>
      </c>
      <c r="B149" s="8"/>
      <c r="C149" s="7"/>
      <c r="D149" s="7"/>
      <c r="E149" s="7"/>
      <c r="F149" s="8"/>
      <c r="G149" s="8"/>
      <c r="H149" s="8"/>
      <c r="I149" s="8"/>
      <c r="J149" s="8"/>
      <c r="K149" s="10" t="str">
        <f>IF(OR(I149="",J149=""),"",IFERROR(VLOOKUP(I149,'99_Lookups'!$A$2:$B$4,2,FALSE),"")*IFERROR(VLOOKUP(J149,'99_Lookups'!$A$2:$B$4,2,FALSE),""))</f>
        <v/>
      </c>
      <c r="L149" s="5" t="str">
        <f t="shared" si="9"/>
        <v/>
      </c>
      <c r="M149" s="8"/>
      <c r="N149" s="7"/>
    </row>
    <row r="150" spans="1:14">
      <c r="A150" s="9" t="str">
        <f t="shared" si="8"/>
        <v/>
      </c>
      <c r="B150" s="8"/>
      <c r="C150" s="7"/>
      <c r="D150" s="7"/>
      <c r="E150" s="7"/>
      <c r="F150" s="8"/>
      <c r="G150" s="8"/>
      <c r="H150" s="8"/>
      <c r="I150" s="8"/>
      <c r="J150" s="8"/>
      <c r="K150" s="10" t="str">
        <f>IF(OR(I150="",J150=""),"",IFERROR(VLOOKUP(I150,'99_Lookups'!$A$2:$B$4,2,FALSE),"")*IFERROR(VLOOKUP(J150,'99_Lookups'!$A$2:$B$4,2,FALSE),""))</f>
        <v/>
      </c>
      <c r="L150" s="5" t="str">
        <f t="shared" si="9"/>
        <v/>
      </c>
      <c r="M150" s="8"/>
      <c r="N150" s="7"/>
    </row>
    <row r="151" spans="1:14">
      <c r="A151" s="9" t="str">
        <f t="shared" si="8"/>
        <v/>
      </c>
      <c r="B151" s="8"/>
      <c r="C151" s="7"/>
      <c r="D151" s="7"/>
      <c r="E151" s="7"/>
      <c r="F151" s="8"/>
      <c r="G151" s="8"/>
      <c r="H151" s="8"/>
      <c r="I151" s="8"/>
      <c r="J151" s="8"/>
      <c r="K151" s="10" t="str">
        <f>IF(OR(I151="",J151=""),"",IFERROR(VLOOKUP(I151,'99_Lookups'!$A$2:$B$4,2,FALSE),"")*IFERROR(VLOOKUP(J151,'99_Lookups'!$A$2:$B$4,2,FALSE),""))</f>
        <v/>
      </c>
      <c r="L151" s="5" t="str">
        <f t="shared" si="9"/>
        <v/>
      </c>
      <c r="M151" s="8"/>
      <c r="N151" s="7"/>
    </row>
    <row r="152" spans="1:14">
      <c r="A152" s="9" t="str">
        <f t="shared" si="8"/>
        <v/>
      </c>
      <c r="B152" s="8"/>
      <c r="C152" s="7"/>
      <c r="D152" s="7"/>
      <c r="E152" s="7"/>
      <c r="F152" s="8"/>
      <c r="G152" s="8"/>
      <c r="H152" s="8"/>
      <c r="I152" s="8"/>
      <c r="J152" s="8"/>
      <c r="K152" s="10" t="str">
        <f>IF(OR(I152="",J152=""),"",IFERROR(VLOOKUP(I152,'99_Lookups'!$A$2:$B$4,2,FALSE),"")*IFERROR(VLOOKUP(J152,'99_Lookups'!$A$2:$B$4,2,FALSE),""))</f>
        <v/>
      </c>
      <c r="L152" s="5" t="str">
        <f t="shared" si="9"/>
        <v/>
      </c>
      <c r="M152" s="8"/>
      <c r="N152" s="7"/>
    </row>
    <row r="153" spans="1:14">
      <c r="A153" s="9" t="str">
        <f t="shared" si="8"/>
        <v/>
      </c>
      <c r="B153" s="8"/>
      <c r="C153" s="7"/>
      <c r="D153" s="7"/>
      <c r="E153" s="7"/>
      <c r="F153" s="8"/>
      <c r="G153" s="8"/>
      <c r="H153" s="8"/>
      <c r="I153" s="8"/>
      <c r="J153" s="8"/>
      <c r="K153" s="10" t="str">
        <f>IF(OR(I153="",J153=""),"",IFERROR(VLOOKUP(I153,'99_Lookups'!$A$2:$B$4,2,FALSE),"")*IFERROR(VLOOKUP(J153,'99_Lookups'!$A$2:$B$4,2,FALSE),""))</f>
        <v/>
      </c>
      <c r="L153" s="5" t="str">
        <f t="shared" si="9"/>
        <v/>
      </c>
      <c r="M153" s="8"/>
      <c r="N153" s="7"/>
    </row>
    <row r="154" spans="1:14">
      <c r="A154" s="9" t="str">
        <f t="shared" si="8"/>
        <v/>
      </c>
      <c r="B154" s="8"/>
      <c r="C154" s="7"/>
      <c r="D154" s="7"/>
      <c r="E154" s="7"/>
      <c r="F154" s="8"/>
      <c r="G154" s="8"/>
      <c r="H154" s="8"/>
      <c r="I154" s="8"/>
      <c r="J154" s="8"/>
      <c r="K154" s="10" t="str">
        <f>IF(OR(I154="",J154=""),"",IFERROR(VLOOKUP(I154,'99_Lookups'!$A$2:$B$4,2,FALSE),"")*IFERROR(VLOOKUP(J154,'99_Lookups'!$A$2:$B$4,2,FALSE),""))</f>
        <v/>
      </c>
      <c r="L154" s="5" t="str">
        <f t="shared" si="9"/>
        <v/>
      </c>
      <c r="M154" s="8"/>
      <c r="N154" s="7"/>
    </row>
    <row r="155" spans="1:14">
      <c r="A155" s="9" t="str">
        <f t="shared" si="8"/>
        <v/>
      </c>
      <c r="B155" s="8"/>
      <c r="C155" s="7"/>
      <c r="D155" s="7"/>
      <c r="E155" s="7"/>
      <c r="F155" s="8"/>
      <c r="G155" s="8"/>
      <c r="H155" s="8"/>
      <c r="I155" s="8"/>
      <c r="J155" s="8"/>
      <c r="K155" s="10" t="str">
        <f>IF(OR(I155="",J155=""),"",IFERROR(VLOOKUP(I155,'99_Lookups'!$A$2:$B$4,2,FALSE),"")*IFERROR(VLOOKUP(J155,'99_Lookups'!$A$2:$B$4,2,FALSE),""))</f>
        <v/>
      </c>
      <c r="L155" s="5" t="str">
        <f t="shared" si="9"/>
        <v/>
      </c>
      <c r="M155" s="8"/>
      <c r="N155" s="7"/>
    </row>
    <row r="156" spans="1:14">
      <c r="A156" s="9" t="str">
        <f t="shared" si="8"/>
        <v/>
      </c>
      <c r="B156" s="8"/>
      <c r="C156" s="7"/>
      <c r="D156" s="7"/>
      <c r="E156" s="7"/>
      <c r="F156" s="8"/>
      <c r="G156" s="8"/>
      <c r="H156" s="8"/>
      <c r="I156" s="8"/>
      <c r="J156" s="8"/>
      <c r="K156" s="10" t="str">
        <f>IF(OR(I156="",J156=""),"",IFERROR(VLOOKUP(I156,'99_Lookups'!$A$2:$B$4,2,FALSE),"")*IFERROR(VLOOKUP(J156,'99_Lookups'!$A$2:$B$4,2,FALSE),""))</f>
        <v/>
      </c>
      <c r="L156" s="5" t="str">
        <f t="shared" si="9"/>
        <v/>
      </c>
      <c r="M156" s="8"/>
      <c r="N156" s="7"/>
    </row>
    <row r="157" spans="1:14">
      <c r="A157" s="9" t="str">
        <f t="shared" si="8"/>
        <v/>
      </c>
      <c r="B157" s="8"/>
      <c r="C157" s="7"/>
      <c r="D157" s="7"/>
      <c r="E157" s="7"/>
      <c r="F157" s="8"/>
      <c r="G157" s="8"/>
      <c r="H157" s="8"/>
      <c r="I157" s="8"/>
      <c r="J157" s="8"/>
      <c r="K157" s="10" t="str">
        <f>IF(OR(I157="",J157=""),"",IFERROR(VLOOKUP(I157,'99_Lookups'!$A$2:$B$4,2,FALSE),"")*IFERROR(VLOOKUP(J157,'99_Lookups'!$A$2:$B$4,2,FALSE),""))</f>
        <v/>
      </c>
      <c r="L157" s="5" t="str">
        <f t="shared" si="9"/>
        <v/>
      </c>
      <c r="M157" s="8"/>
      <c r="N157" s="7"/>
    </row>
    <row r="158" spans="1:14">
      <c r="A158" s="9" t="str">
        <f t="shared" si="8"/>
        <v/>
      </c>
      <c r="B158" s="8"/>
      <c r="C158" s="7"/>
      <c r="D158" s="7"/>
      <c r="E158" s="7"/>
      <c r="F158" s="8"/>
      <c r="G158" s="8"/>
      <c r="H158" s="8"/>
      <c r="I158" s="8"/>
      <c r="J158" s="8"/>
      <c r="K158" s="10" t="str">
        <f>IF(OR(I158="",J158=""),"",IFERROR(VLOOKUP(I158,'99_Lookups'!$A$2:$B$4,2,FALSE),"")*IFERROR(VLOOKUP(J158,'99_Lookups'!$A$2:$B$4,2,FALSE),""))</f>
        <v/>
      </c>
      <c r="L158" s="5" t="str">
        <f t="shared" si="9"/>
        <v/>
      </c>
      <c r="M158" s="8"/>
      <c r="N158" s="7"/>
    </row>
    <row r="159" spans="1:14">
      <c r="A159" s="9" t="str">
        <f t="shared" si="8"/>
        <v/>
      </c>
      <c r="B159" s="8"/>
      <c r="C159" s="7"/>
      <c r="D159" s="7"/>
      <c r="E159" s="7"/>
      <c r="F159" s="8"/>
      <c r="G159" s="8"/>
      <c r="H159" s="8"/>
      <c r="I159" s="8"/>
      <c r="J159" s="8"/>
      <c r="K159" s="10" t="str">
        <f>IF(OR(I159="",J159=""),"",IFERROR(VLOOKUP(I159,'99_Lookups'!$A$2:$B$4,2,FALSE),"")*IFERROR(VLOOKUP(J159,'99_Lookups'!$A$2:$B$4,2,FALSE),""))</f>
        <v/>
      </c>
      <c r="L159" s="5" t="str">
        <f t="shared" si="9"/>
        <v/>
      </c>
      <c r="M159" s="8"/>
      <c r="N159" s="7"/>
    </row>
    <row r="160" spans="1:14">
      <c r="A160" s="9" t="str">
        <f t="shared" si="8"/>
        <v/>
      </c>
      <c r="B160" s="8"/>
      <c r="C160" s="7"/>
      <c r="D160" s="7"/>
      <c r="E160" s="7"/>
      <c r="F160" s="8"/>
      <c r="G160" s="8"/>
      <c r="H160" s="8"/>
      <c r="I160" s="8"/>
      <c r="J160" s="8"/>
      <c r="K160" s="10" t="str">
        <f>IF(OR(I160="",J160=""),"",IFERROR(VLOOKUP(I160,'99_Lookups'!$A$2:$B$4,2,FALSE),"")*IFERROR(VLOOKUP(J160,'99_Lookups'!$A$2:$B$4,2,FALSE),""))</f>
        <v/>
      </c>
      <c r="L160" s="5" t="str">
        <f t="shared" si="9"/>
        <v/>
      </c>
      <c r="M160" s="8"/>
      <c r="N160" s="7"/>
    </row>
    <row r="161" spans="1:14">
      <c r="A161" s="9" t="str">
        <f t="shared" si="8"/>
        <v/>
      </c>
      <c r="B161" s="8"/>
      <c r="C161" s="7"/>
      <c r="D161" s="7"/>
      <c r="E161" s="7"/>
      <c r="F161" s="8"/>
      <c r="G161" s="8"/>
      <c r="H161" s="8"/>
      <c r="I161" s="8"/>
      <c r="J161" s="8"/>
      <c r="K161" s="10" t="str">
        <f>IF(OR(I161="",J161=""),"",IFERROR(VLOOKUP(I161,'99_Lookups'!$A$2:$B$4,2,FALSE),"")*IFERROR(VLOOKUP(J161,'99_Lookups'!$A$2:$B$4,2,FALSE),""))</f>
        <v/>
      </c>
      <c r="L161" s="5" t="str">
        <f t="shared" si="9"/>
        <v/>
      </c>
      <c r="M161" s="8"/>
      <c r="N161" s="7"/>
    </row>
    <row r="162" spans="1:14">
      <c r="A162" s="9" t="str">
        <f t="shared" ref="A162:A193" si="10">IF(COUNTA(C162:E162)&gt;0,"R"&amp;ROW()-1,"")</f>
        <v/>
      </c>
      <c r="B162" s="8"/>
      <c r="C162" s="7"/>
      <c r="D162" s="7"/>
      <c r="E162" s="7"/>
      <c r="F162" s="8"/>
      <c r="G162" s="8"/>
      <c r="H162" s="8"/>
      <c r="I162" s="8"/>
      <c r="J162" s="8"/>
      <c r="K162" s="10" t="str">
        <f>IF(OR(I162="",J162=""),"",IFERROR(VLOOKUP(I162,'99_Lookups'!$A$2:$B$4,2,FALSE),"")*IFERROR(VLOOKUP(J162,'99_Lookups'!$A$2:$B$4,2,FALSE),""))</f>
        <v/>
      </c>
      <c r="L162" s="5" t="str">
        <f t="shared" ref="L162:L193" si="11">IF(K162="","",IF(K162&lt;=3,"Laag",IF(K162&lt;=6,"Midden","Hoog")))</f>
        <v/>
      </c>
      <c r="M162" s="8"/>
      <c r="N162" s="7"/>
    </row>
    <row r="163" spans="1:14">
      <c r="A163" s="9" t="str">
        <f t="shared" si="10"/>
        <v/>
      </c>
      <c r="B163" s="8"/>
      <c r="C163" s="7"/>
      <c r="D163" s="7"/>
      <c r="E163" s="7"/>
      <c r="F163" s="8"/>
      <c r="G163" s="8"/>
      <c r="H163" s="8"/>
      <c r="I163" s="8"/>
      <c r="J163" s="8"/>
      <c r="K163" s="10" t="str">
        <f>IF(OR(I163="",J163=""),"",IFERROR(VLOOKUP(I163,'99_Lookups'!$A$2:$B$4,2,FALSE),"")*IFERROR(VLOOKUP(J163,'99_Lookups'!$A$2:$B$4,2,FALSE),""))</f>
        <v/>
      </c>
      <c r="L163" s="5" t="str">
        <f t="shared" si="11"/>
        <v/>
      </c>
      <c r="M163" s="8"/>
      <c r="N163" s="7"/>
    </row>
    <row r="164" spans="1:14">
      <c r="A164" s="9" t="str">
        <f t="shared" si="10"/>
        <v/>
      </c>
      <c r="B164" s="8"/>
      <c r="C164" s="7"/>
      <c r="D164" s="7"/>
      <c r="E164" s="7"/>
      <c r="F164" s="8"/>
      <c r="G164" s="8"/>
      <c r="H164" s="8"/>
      <c r="I164" s="8"/>
      <c r="J164" s="8"/>
      <c r="K164" s="10" t="str">
        <f>IF(OR(I164="",J164=""),"",IFERROR(VLOOKUP(I164,'99_Lookups'!$A$2:$B$4,2,FALSE),"")*IFERROR(VLOOKUP(J164,'99_Lookups'!$A$2:$B$4,2,FALSE),""))</f>
        <v/>
      </c>
      <c r="L164" s="5" t="str">
        <f t="shared" si="11"/>
        <v/>
      </c>
      <c r="M164" s="8"/>
      <c r="N164" s="7"/>
    </row>
    <row r="165" spans="1:14">
      <c r="A165" s="9" t="str">
        <f t="shared" si="10"/>
        <v/>
      </c>
      <c r="B165" s="8"/>
      <c r="C165" s="7"/>
      <c r="D165" s="7"/>
      <c r="E165" s="7"/>
      <c r="F165" s="8"/>
      <c r="G165" s="8"/>
      <c r="H165" s="8"/>
      <c r="I165" s="8"/>
      <c r="J165" s="8"/>
      <c r="K165" s="10" t="str">
        <f>IF(OR(I165="",J165=""),"",IFERROR(VLOOKUP(I165,'99_Lookups'!$A$2:$B$4,2,FALSE),"")*IFERROR(VLOOKUP(J165,'99_Lookups'!$A$2:$B$4,2,FALSE),""))</f>
        <v/>
      </c>
      <c r="L165" s="5" t="str">
        <f t="shared" si="11"/>
        <v/>
      </c>
      <c r="M165" s="8"/>
      <c r="N165" s="7"/>
    </row>
    <row r="166" spans="1:14">
      <c r="A166" s="9" t="str">
        <f t="shared" si="10"/>
        <v/>
      </c>
      <c r="B166" s="8"/>
      <c r="C166" s="7"/>
      <c r="D166" s="7"/>
      <c r="E166" s="7"/>
      <c r="F166" s="8"/>
      <c r="G166" s="8"/>
      <c r="H166" s="8"/>
      <c r="I166" s="8"/>
      <c r="J166" s="8"/>
      <c r="K166" s="10" t="str">
        <f>IF(OR(I166="",J166=""),"",IFERROR(VLOOKUP(I166,'99_Lookups'!$A$2:$B$4,2,FALSE),"")*IFERROR(VLOOKUP(J166,'99_Lookups'!$A$2:$B$4,2,FALSE),""))</f>
        <v/>
      </c>
      <c r="L166" s="5" t="str">
        <f t="shared" si="11"/>
        <v/>
      </c>
      <c r="M166" s="8"/>
      <c r="N166" s="7"/>
    </row>
    <row r="167" spans="1:14">
      <c r="A167" s="9" t="str">
        <f t="shared" si="10"/>
        <v/>
      </c>
      <c r="B167" s="8"/>
      <c r="C167" s="7"/>
      <c r="D167" s="7"/>
      <c r="E167" s="7"/>
      <c r="F167" s="8"/>
      <c r="G167" s="8"/>
      <c r="H167" s="8"/>
      <c r="I167" s="8"/>
      <c r="J167" s="8"/>
      <c r="K167" s="10" t="str">
        <f>IF(OR(I167="",J167=""),"",IFERROR(VLOOKUP(I167,'99_Lookups'!$A$2:$B$4,2,FALSE),"")*IFERROR(VLOOKUP(J167,'99_Lookups'!$A$2:$B$4,2,FALSE),""))</f>
        <v/>
      </c>
      <c r="L167" s="5" t="str">
        <f t="shared" si="11"/>
        <v/>
      </c>
      <c r="M167" s="8"/>
      <c r="N167" s="7"/>
    </row>
    <row r="168" spans="1:14">
      <c r="A168" s="9" t="str">
        <f t="shared" si="10"/>
        <v/>
      </c>
      <c r="B168" s="8"/>
      <c r="C168" s="7"/>
      <c r="D168" s="7"/>
      <c r="E168" s="7"/>
      <c r="F168" s="8"/>
      <c r="G168" s="8"/>
      <c r="H168" s="8"/>
      <c r="I168" s="8"/>
      <c r="J168" s="8"/>
      <c r="K168" s="10" t="str">
        <f>IF(OR(I168="",J168=""),"",IFERROR(VLOOKUP(I168,'99_Lookups'!$A$2:$B$4,2,FALSE),"")*IFERROR(VLOOKUP(J168,'99_Lookups'!$A$2:$B$4,2,FALSE),""))</f>
        <v/>
      </c>
      <c r="L168" s="5" t="str">
        <f t="shared" si="11"/>
        <v/>
      </c>
      <c r="M168" s="8"/>
      <c r="N168" s="7"/>
    </row>
    <row r="169" spans="1:14">
      <c r="A169" s="9" t="str">
        <f t="shared" si="10"/>
        <v/>
      </c>
      <c r="B169" s="8"/>
      <c r="C169" s="7"/>
      <c r="D169" s="7"/>
      <c r="E169" s="7"/>
      <c r="F169" s="8"/>
      <c r="G169" s="8"/>
      <c r="H169" s="8"/>
      <c r="I169" s="8"/>
      <c r="J169" s="8"/>
      <c r="K169" s="10" t="str">
        <f>IF(OR(I169="",J169=""),"",IFERROR(VLOOKUP(I169,'99_Lookups'!$A$2:$B$4,2,FALSE),"")*IFERROR(VLOOKUP(J169,'99_Lookups'!$A$2:$B$4,2,FALSE),""))</f>
        <v/>
      </c>
      <c r="L169" s="5" t="str">
        <f t="shared" si="11"/>
        <v/>
      </c>
      <c r="M169" s="8"/>
      <c r="N169" s="7"/>
    </row>
    <row r="170" spans="1:14">
      <c r="A170" s="9" t="str">
        <f t="shared" si="10"/>
        <v/>
      </c>
      <c r="B170" s="8"/>
      <c r="C170" s="7"/>
      <c r="D170" s="7"/>
      <c r="E170" s="7"/>
      <c r="F170" s="8"/>
      <c r="G170" s="8"/>
      <c r="H170" s="8"/>
      <c r="I170" s="8"/>
      <c r="J170" s="8"/>
      <c r="K170" s="10" t="str">
        <f>IF(OR(I170="",J170=""),"",IFERROR(VLOOKUP(I170,'99_Lookups'!$A$2:$B$4,2,FALSE),"")*IFERROR(VLOOKUP(J170,'99_Lookups'!$A$2:$B$4,2,FALSE),""))</f>
        <v/>
      </c>
      <c r="L170" s="5" t="str">
        <f t="shared" si="11"/>
        <v/>
      </c>
      <c r="M170" s="8"/>
      <c r="N170" s="7"/>
    </row>
    <row r="171" spans="1:14">
      <c r="A171" s="9" t="str">
        <f t="shared" si="10"/>
        <v/>
      </c>
      <c r="B171" s="8"/>
      <c r="C171" s="7"/>
      <c r="D171" s="7"/>
      <c r="E171" s="7"/>
      <c r="F171" s="8"/>
      <c r="G171" s="8"/>
      <c r="H171" s="8"/>
      <c r="I171" s="8"/>
      <c r="J171" s="8"/>
      <c r="K171" s="10" t="str">
        <f>IF(OR(I171="",J171=""),"",IFERROR(VLOOKUP(I171,'99_Lookups'!$A$2:$B$4,2,FALSE),"")*IFERROR(VLOOKUP(J171,'99_Lookups'!$A$2:$B$4,2,FALSE),""))</f>
        <v/>
      </c>
      <c r="L171" s="5" t="str">
        <f t="shared" si="11"/>
        <v/>
      </c>
      <c r="M171" s="8"/>
      <c r="N171" s="7"/>
    </row>
    <row r="172" spans="1:14">
      <c r="A172" s="9" t="str">
        <f t="shared" si="10"/>
        <v/>
      </c>
      <c r="B172" s="8"/>
      <c r="C172" s="7"/>
      <c r="D172" s="7"/>
      <c r="E172" s="7"/>
      <c r="F172" s="8"/>
      <c r="G172" s="8"/>
      <c r="H172" s="8"/>
      <c r="I172" s="8"/>
      <c r="J172" s="8"/>
      <c r="K172" s="10" t="str">
        <f>IF(OR(I172="",J172=""),"",IFERROR(VLOOKUP(I172,'99_Lookups'!$A$2:$B$4,2,FALSE),"")*IFERROR(VLOOKUP(J172,'99_Lookups'!$A$2:$B$4,2,FALSE),""))</f>
        <v/>
      </c>
      <c r="L172" s="5" t="str">
        <f t="shared" si="11"/>
        <v/>
      </c>
      <c r="M172" s="8"/>
      <c r="N172" s="7"/>
    </row>
    <row r="173" spans="1:14">
      <c r="A173" s="9" t="str">
        <f t="shared" si="10"/>
        <v/>
      </c>
      <c r="B173" s="8"/>
      <c r="C173" s="7"/>
      <c r="D173" s="7"/>
      <c r="E173" s="7"/>
      <c r="F173" s="8"/>
      <c r="G173" s="8"/>
      <c r="H173" s="8"/>
      <c r="I173" s="8"/>
      <c r="J173" s="8"/>
      <c r="K173" s="10" t="str">
        <f>IF(OR(I173="",J173=""),"",IFERROR(VLOOKUP(I173,'99_Lookups'!$A$2:$B$4,2,FALSE),"")*IFERROR(VLOOKUP(J173,'99_Lookups'!$A$2:$B$4,2,FALSE),""))</f>
        <v/>
      </c>
      <c r="L173" s="5" t="str">
        <f t="shared" si="11"/>
        <v/>
      </c>
      <c r="M173" s="8"/>
      <c r="N173" s="7"/>
    </row>
    <row r="174" spans="1:14">
      <c r="A174" s="9" t="str">
        <f t="shared" si="10"/>
        <v/>
      </c>
      <c r="B174" s="8"/>
      <c r="C174" s="7"/>
      <c r="D174" s="7"/>
      <c r="E174" s="7"/>
      <c r="F174" s="8"/>
      <c r="G174" s="8"/>
      <c r="H174" s="8"/>
      <c r="I174" s="8"/>
      <c r="J174" s="8"/>
      <c r="K174" s="10" t="str">
        <f>IF(OR(I174="",J174=""),"",IFERROR(VLOOKUP(I174,'99_Lookups'!$A$2:$B$4,2,FALSE),"")*IFERROR(VLOOKUP(J174,'99_Lookups'!$A$2:$B$4,2,FALSE),""))</f>
        <v/>
      </c>
      <c r="L174" s="5" t="str">
        <f t="shared" si="11"/>
        <v/>
      </c>
      <c r="M174" s="8"/>
      <c r="N174" s="7"/>
    </row>
    <row r="175" spans="1:14">
      <c r="A175" s="9" t="str">
        <f t="shared" si="10"/>
        <v/>
      </c>
      <c r="B175" s="8"/>
      <c r="C175" s="7"/>
      <c r="D175" s="7"/>
      <c r="E175" s="7"/>
      <c r="F175" s="8"/>
      <c r="G175" s="8"/>
      <c r="H175" s="8"/>
      <c r="I175" s="8"/>
      <c r="J175" s="8"/>
      <c r="K175" s="10" t="str">
        <f>IF(OR(I175="",J175=""),"",IFERROR(VLOOKUP(I175,'99_Lookups'!$A$2:$B$4,2,FALSE),"")*IFERROR(VLOOKUP(J175,'99_Lookups'!$A$2:$B$4,2,FALSE),""))</f>
        <v/>
      </c>
      <c r="L175" s="5" t="str">
        <f t="shared" si="11"/>
        <v/>
      </c>
      <c r="M175" s="8"/>
      <c r="N175" s="7"/>
    </row>
    <row r="176" spans="1:14">
      <c r="A176" s="9" t="str">
        <f t="shared" si="10"/>
        <v/>
      </c>
      <c r="B176" s="8"/>
      <c r="C176" s="7"/>
      <c r="D176" s="7"/>
      <c r="E176" s="7"/>
      <c r="F176" s="8"/>
      <c r="G176" s="8"/>
      <c r="H176" s="8"/>
      <c r="I176" s="8"/>
      <c r="J176" s="8"/>
      <c r="K176" s="10" t="str">
        <f>IF(OR(I176="",J176=""),"",IFERROR(VLOOKUP(I176,'99_Lookups'!$A$2:$B$4,2,FALSE),"")*IFERROR(VLOOKUP(J176,'99_Lookups'!$A$2:$B$4,2,FALSE),""))</f>
        <v/>
      </c>
      <c r="L176" s="5" t="str">
        <f t="shared" si="11"/>
        <v/>
      </c>
      <c r="M176" s="8"/>
      <c r="N176" s="7"/>
    </row>
    <row r="177" spans="1:14">
      <c r="A177" s="9" t="str">
        <f t="shared" si="10"/>
        <v/>
      </c>
      <c r="B177" s="8"/>
      <c r="C177" s="7"/>
      <c r="D177" s="7"/>
      <c r="E177" s="7"/>
      <c r="F177" s="8"/>
      <c r="G177" s="8"/>
      <c r="H177" s="8"/>
      <c r="I177" s="8"/>
      <c r="J177" s="8"/>
      <c r="K177" s="10" t="str">
        <f>IF(OR(I177="",J177=""),"",IFERROR(VLOOKUP(I177,'99_Lookups'!$A$2:$B$4,2,FALSE),"")*IFERROR(VLOOKUP(J177,'99_Lookups'!$A$2:$B$4,2,FALSE),""))</f>
        <v/>
      </c>
      <c r="L177" s="5" t="str">
        <f t="shared" si="11"/>
        <v/>
      </c>
      <c r="M177" s="8"/>
      <c r="N177" s="7"/>
    </row>
    <row r="178" spans="1:14">
      <c r="A178" s="9" t="str">
        <f t="shared" si="10"/>
        <v/>
      </c>
      <c r="B178" s="8"/>
      <c r="C178" s="7"/>
      <c r="D178" s="7"/>
      <c r="E178" s="7"/>
      <c r="F178" s="8"/>
      <c r="G178" s="8"/>
      <c r="H178" s="8"/>
      <c r="I178" s="8"/>
      <c r="J178" s="8"/>
      <c r="K178" s="10" t="str">
        <f>IF(OR(I178="",J178=""),"",IFERROR(VLOOKUP(I178,'99_Lookups'!$A$2:$B$4,2,FALSE),"")*IFERROR(VLOOKUP(J178,'99_Lookups'!$A$2:$B$4,2,FALSE),""))</f>
        <v/>
      </c>
      <c r="L178" s="5" t="str">
        <f t="shared" si="11"/>
        <v/>
      </c>
      <c r="M178" s="8"/>
      <c r="N178" s="7"/>
    </row>
    <row r="179" spans="1:14">
      <c r="A179" s="9" t="str">
        <f t="shared" si="10"/>
        <v/>
      </c>
      <c r="B179" s="8"/>
      <c r="C179" s="7"/>
      <c r="D179" s="7"/>
      <c r="E179" s="7"/>
      <c r="F179" s="8"/>
      <c r="G179" s="8"/>
      <c r="H179" s="8"/>
      <c r="I179" s="8"/>
      <c r="J179" s="8"/>
      <c r="K179" s="10" t="str">
        <f>IF(OR(I179="",J179=""),"",IFERROR(VLOOKUP(I179,'99_Lookups'!$A$2:$B$4,2,FALSE),"")*IFERROR(VLOOKUP(J179,'99_Lookups'!$A$2:$B$4,2,FALSE),""))</f>
        <v/>
      </c>
      <c r="L179" s="5" t="str">
        <f t="shared" si="11"/>
        <v/>
      </c>
      <c r="M179" s="8"/>
      <c r="N179" s="7"/>
    </row>
    <row r="180" spans="1:14">
      <c r="A180" s="9" t="str">
        <f t="shared" si="10"/>
        <v/>
      </c>
      <c r="B180" s="8"/>
      <c r="C180" s="7"/>
      <c r="D180" s="7"/>
      <c r="E180" s="7"/>
      <c r="F180" s="8"/>
      <c r="G180" s="8"/>
      <c r="H180" s="8"/>
      <c r="I180" s="8"/>
      <c r="J180" s="8"/>
      <c r="K180" s="10" t="str">
        <f>IF(OR(I180="",J180=""),"",IFERROR(VLOOKUP(I180,'99_Lookups'!$A$2:$B$4,2,FALSE),"")*IFERROR(VLOOKUP(J180,'99_Lookups'!$A$2:$B$4,2,FALSE),""))</f>
        <v/>
      </c>
      <c r="L180" s="5" t="str">
        <f t="shared" si="11"/>
        <v/>
      </c>
      <c r="M180" s="8"/>
      <c r="N180" s="7"/>
    </row>
    <row r="181" spans="1:14">
      <c r="A181" s="9" t="str">
        <f t="shared" si="10"/>
        <v/>
      </c>
      <c r="B181" s="8"/>
      <c r="C181" s="7"/>
      <c r="D181" s="7"/>
      <c r="E181" s="7"/>
      <c r="F181" s="8"/>
      <c r="G181" s="8"/>
      <c r="H181" s="8"/>
      <c r="I181" s="8"/>
      <c r="J181" s="8"/>
      <c r="K181" s="10" t="str">
        <f>IF(OR(I181="",J181=""),"",IFERROR(VLOOKUP(I181,'99_Lookups'!$A$2:$B$4,2,FALSE),"")*IFERROR(VLOOKUP(J181,'99_Lookups'!$A$2:$B$4,2,FALSE),""))</f>
        <v/>
      </c>
      <c r="L181" s="5" t="str">
        <f t="shared" si="11"/>
        <v/>
      </c>
      <c r="M181" s="8"/>
      <c r="N181" s="7"/>
    </row>
    <row r="182" spans="1:14">
      <c r="A182" s="9" t="str">
        <f t="shared" si="10"/>
        <v/>
      </c>
      <c r="B182" s="8"/>
      <c r="C182" s="7"/>
      <c r="D182" s="7"/>
      <c r="E182" s="7"/>
      <c r="F182" s="8"/>
      <c r="G182" s="8"/>
      <c r="H182" s="8"/>
      <c r="I182" s="8"/>
      <c r="J182" s="8"/>
      <c r="K182" s="10" t="str">
        <f>IF(OR(I182="",J182=""),"",IFERROR(VLOOKUP(I182,'99_Lookups'!$A$2:$B$4,2,FALSE),"")*IFERROR(VLOOKUP(J182,'99_Lookups'!$A$2:$B$4,2,FALSE),""))</f>
        <v/>
      </c>
      <c r="L182" s="5" t="str">
        <f t="shared" si="11"/>
        <v/>
      </c>
      <c r="M182" s="8"/>
      <c r="N182" s="7"/>
    </row>
    <row r="183" spans="1:14">
      <c r="A183" s="9" t="str">
        <f t="shared" si="10"/>
        <v/>
      </c>
      <c r="B183" s="8"/>
      <c r="C183" s="7"/>
      <c r="D183" s="7"/>
      <c r="E183" s="7"/>
      <c r="F183" s="8"/>
      <c r="G183" s="8"/>
      <c r="H183" s="8"/>
      <c r="I183" s="8"/>
      <c r="J183" s="8"/>
      <c r="K183" s="10" t="str">
        <f>IF(OR(I183="",J183=""),"",IFERROR(VLOOKUP(I183,'99_Lookups'!$A$2:$B$4,2,FALSE),"")*IFERROR(VLOOKUP(J183,'99_Lookups'!$A$2:$B$4,2,FALSE),""))</f>
        <v/>
      </c>
      <c r="L183" s="5" t="str">
        <f t="shared" si="11"/>
        <v/>
      </c>
      <c r="M183" s="8"/>
      <c r="N183" s="7"/>
    </row>
    <row r="184" spans="1:14">
      <c r="A184" s="9" t="str">
        <f t="shared" si="10"/>
        <v/>
      </c>
      <c r="B184" s="8"/>
      <c r="C184" s="7"/>
      <c r="D184" s="7"/>
      <c r="E184" s="7"/>
      <c r="F184" s="8"/>
      <c r="G184" s="8"/>
      <c r="H184" s="8"/>
      <c r="I184" s="8"/>
      <c r="J184" s="8"/>
      <c r="K184" s="10" t="str">
        <f>IF(OR(I184="",J184=""),"",IFERROR(VLOOKUP(I184,'99_Lookups'!$A$2:$B$4,2,FALSE),"")*IFERROR(VLOOKUP(J184,'99_Lookups'!$A$2:$B$4,2,FALSE),""))</f>
        <v/>
      </c>
      <c r="L184" s="5" t="str">
        <f t="shared" si="11"/>
        <v/>
      </c>
      <c r="M184" s="8"/>
      <c r="N184" s="7"/>
    </row>
    <row r="185" spans="1:14">
      <c r="A185" s="9" t="str">
        <f t="shared" si="10"/>
        <v/>
      </c>
      <c r="B185" s="8"/>
      <c r="C185" s="7"/>
      <c r="D185" s="7"/>
      <c r="E185" s="7"/>
      <c r="F185" s="8"/>
      <c r="G185" s="8"/>
      <c r="H185" s="8"/>
      <c r="I185" s="8"/>
      <c r="J185" s="8"/>
      <c r="K185" s="10" t="str">
        <f>IF(OR(I185="",J185=""),"",IFERROR(VLOOKUP(I185,'99_Lookups'!$A$2:$B$4,2,FALSE),"")*IFERROR(VLOOKUP(J185,'99_Lookups'!$A$2:$B$4,2,FALSE),""))</f>
        <v/>
      </c>
      <c r="L185" s="5" t="str">
        <f t="shared" si="11"/>
        <v/>
      </c>
      <c r="M185" s="8"/>
      <c r="N185" s="7"/>
    </row>
    <row r="186" spans="1:14">
      <c r="A186" s="9" t="str">
        <f t="shared" si="10"/>
        <v/>
      </c>
      <c r="B186" s="8"/>
      <c r="C186" s="7"/>
      <c r="D186" s="7"/>
      <c r="E186" s="7"/>
      <c r="F186" s="8"/>
      <c r="G186" s="8"/>
      <c r="H186" s="8"/>
      <c r="I186" s="8"/>
      <c r="J186" s="8"/>
      <c r="K186" s="10" t="str">
        <f>IF(OR(I186="",J186=""),"",IFERROR(VLOOKUP(I186,'99_Lookups'!$A$2:$B$4,2,FALSE),"")*IFERROR(VLOOKUP(J186,'99_Lookups'!$A$2:$B$4,2,FALSE),""))</f>
        <v/>
      </c>
      <c r="L186" s="5" t="str">
        <f t="shared" si="11"/>
        <v/>
      </c>
      <c r="M186" s="8"/>
      <c r="N186" s="7"/>
    </row>
    <row r="187" spans="1:14">
      <c r="A187" s="9" t="str">
        <f t="shared" si="10"/>
        <v/>
      </c>
      <c r="B187" s="8"/>
      <c r="C187" s="7"/>
      <c r="D187" s="7"/>
      <c r="E187" s="7"/>
      <c r="F187" s="8"/>
      <c r="G187" s="8"/>
      <c r="H187" s="8"/>
      <c r="I187" s="8"/>
      <c r="J187" s="8"/>
      <c r="K187" s="10" t="str">
        <f>IF(OR(I187="",J187=""),"",IFERROR(VLOOKUP(I187,'99_Lookups'!$A$2:$B$4,2,FALSE),"")*IFERROR(VLOOKUP(J187,'99_Lookups'!$A$2:$B$4,2,FALSE),""))</f>
        <v/>
      </c>
      <c r="L187" s="5" t="str">
        <f t="shared" si="11"/>
        <v/>
      </c>
      <c r="M187" s="8"/>
      <c r="N187" s="7"/>
    </row>
    <row r="188" spans="1:14">
      <c r="A188" s="9" t="str">
        <f t="shared" si="10"/>
        <v/>
      </c>
      <c r="B188" s="8"/>
      <c r="C188" s="7"/>
      <c r="D188" s="7"/>
      <c r="E188" s="7"/>
      <c r="F188" s="8"/>
      <c r="G188" s="8"/>
      <c r="H188" s="8"/>
      <c r="I188" s="8"/>
      <c r="J188" s="8"/>
      <c r="K188" s="10" t="str">
        <f>IF(OR(I188="",J188=""),"",IFERROR(VLOOKUP(I188,'99_Lookups'!$A$2:$B$4,2,FALSE),"")*IFERROR(VLOOKUP(J188,'99_Lookups'!$A$2:$B$4,2,FALSE),""))</f>
        <v/>
      </c>
      <c r="L188" s="5" t="str">
        <f t="shared" si="11"/>
        <v/>
      </c>
      <c r="M188" s="8"/>
      <c r="N188" s="7"/>
    </row>
    <row r="189" spans="1:14">
      <c r="A189" s="9" t="str">
        <f t="shared" si="10"/>
        <v/>
      </c>
      <c r="B189" s="8"/>
      <c r="C189" s="7"/>
      <c r="D189" s="7"/>
      <c r="E189" s="7"/>
      <c r="F189" s="8"/>
      <c r="G189" s="8"/>
      <c r="H189" s="8"/>
      <c r="I189" s="8"/>
      <c r="J189" s="8"/>
      <c r="K189" s="10" t="str">
        <f>IF(OR(I189="",J189=""),"",IFERROR(VLOOKUP(I189,'99_Lookups'!$A$2:$B$4,2,FALSE),"")*IFERROR(VLOOKUP(J189,'99_Lookups'!$A$2:$B$4,2,FALSE),""))</f>
        <v/>
      </c>
      <c r="L189" s="5" t="str">
        <f t="shared" si="11"/>
        <v/>
      </c>
      <c r="M189" s="8"/>
      <c r="N189" s="7"/>
    </row>
    <row r="190" spans="1:14">
      <c r="A190" s="9" t="str">
        <f t="shared" si="10"/>
        <v/>
      </c>
      <c r="B190" s="8"/>
      <c r="C190" s="7"/>
      <c r="D190" s="7"/>
      <c r="E190" s="7"/>
      <c r="F190" s="8"/>
      <c r="G190" s="8"/>
      <c r="H190" s="8"/>
      <c r="I190" s="8"/>
      <c r="J190" s="8"/>
      <c r="K190" s="10" t="str">
        <f>IF(OR(I190="",J190=""),"",IFERROR(VLOOKUP(I190,'99_Lookups'!$A$2:$B$4,2,FALSE),"")*IFERROR(VLOOKUP(J190,'99_Lookups'!$A$2:$B$4,2,FALSE),""))</f>
        <v/>
      </c>
      <c r="L190" s="5" t="str">
        <f t="shared" si="11"/>
        <v/>
      </c>
      <c r="M190" s="8"/>
      <c r="N190" s="7"/>
    </row>
    <row r="191" spans="1:14">
      <c r="A191" s="9" t="str">
        <f t="shared" si="10"/>
        <v/>
      </c>
      <c r="B191" s="8"/>
      <c r="C191" s="7"/>
      <c r="D191" s="7"/>
      <c r="E191" s="7"/>
      <c r="F191" s="8"/>
      <c r="G191" s="8"/>
      <c r="H191" s="8"/>
      <c r="I191" s="8"/>
      <c r="J191" s="8"/>
      <c r="K191" s="10" t="str">
        <f>IF(OR(I191="",J191=""),"",IFERROR(VLOOKUP(I191,'99_Lookups'!$A$2:$B$4,2,FALSE),"")*IFERROR(VLOOKUP(J191,'99_Lookups'!$A$2:$B$4,2,FALSE),""))</f>
        <v/>
      </c>
      <c r="L191" s="5" t="str">
        <f t="shared" si="11"/>
        <v/>
      </c>
      <c r="M191" s="8"/>
      <c r="N191" s="7"/>
    </row>
    <row r="192" spans="1:14">
      <c r="A192" s="9" t="str">
        <f t="shared" si="10"/>
        <v/>
      </c>
      <c r="B192" s="8"/>
      <c r="C192" s="7"/>
      <c r="D192" s="7"/>
      <c r="E192" s="7"/>
      <c r="F192" s="8"/>
      <c r="G192" s="8"/>
      <c r="H192" s="8"/>
      <c r="I192" s="8"/>
      <c r="J192" s="8"/>
      <c r="K192" s="10" t="str">
        <f>IF(OR(I192="",J192=""),"",IFERROR(VLOOKUP(I192,'99_Lookups'!$A$2:$B$4,2,FALSE),"")*IFERROR(VLOOKUP(J192,'99_Lookups'!$A$2:$B$4,2,FALSE),""))</f>
        <v/>
      </c>
      <c r="L192" s="5" t="str">
        <f t="shared" si="11"/>
        <v/>
      </c>
      <c r="M192" s="8"/>
      <c r="N192" s="7"/>
    </row>
    <row r="193" spans="1:14">
      <c r="A193" s="9" t="str">
        <f t="shared" si="10"/>
        <v/>
      </c>
      <c r="B193" s="8"/>
      <c r="C193" s="7"/>
      <c r="D193" s="7"/>
      <c r="E193" s="7"/>
      <c r="F193" s="8"/>
      <c r="G193" s="8"/>
      <c r="H193" s="8"/>
      <c r="I193" s="8"/>
      <c r="J193" s="8"/>
      <c r="K193" s="10" t="str">
        <f>IF(OR(I193="",J193=""),"",IFERROR(VLOOKUP(I193,'99_Lookups'!$A$2:$B$4,2,FALSE),"")*IFERROR(VLOOKUP(J193,'99_Lookups'!$A$2:$B$4,2,FALSE),""))</f>
        <v/>
      </c>
      <c r="L193" s="5" t="str">
        <f t="shared" si="11"/>
        <v/>
      </c>
      <c r="M193" s="8"/>
      <c r="N193" s="7"/>
    </row>
    <row r="194" spans="1:14">
      <c r="A194" s="9" t="str">
        <f t="shared" ref="A194:A201" si="12">IF(COUNTA(C194:E194)&gt;0,"R"&amp;ROW()-1,"")</f>
        <v/>
      </c>
      <c r="B194" s="8"/>
      <c r="C194" s="7"/>
      <c r="D194" s="7"/>
      <c r="E194" s="7"/>
      <c r="F194" s="8"/>
      <c r="G194" s="8"/>
      <c r="H194" s="8"/>
      <c r="I194" s="8"/>
      <c r="J194" s="8"/>
      <c r="K194" s="10" t="str">
        <f>IF(OR(I194="",J194=""),"",IFERROR(VLOOKUP(I194,'99_Lookups'!$A$2:$B$4,2,FALSE),"")*IFERROR(VLOOKUP(J194,'99_Lookups'!$A$2:$B$4,2,FALSE),""))</f>
        <v/>
      </c>
      <c r="L194" s="5" t="str">
        <f t="shared" ref="L194:L201" si="13">IF(K194="","",IF(K194&lt;=3,"Laag",IF(K194&lt;=6,"Midden","Hoog")))</f>
        <v/>
      </c>
      <c r="M194" s="8"/>
      <c r="N194" s="7"/>
    </row>
    <row r="195" spans="1:14">
      <c r="A195" s="9" t="str">
        <f t="shared" si="12"/>
        <v/>
      </c>
      <c r="B195" s="8"/>
      <c r="C195" s="7"/>
      <c r="D195" s="7"/>
      <c r="E195" s="7"/>
      <c r="F195" s="8"/>
      <c r="G195" s="8"/>
      <c r="H195" s="8"/>
      <c r="I195" s="8"/>
      <c r="J195" s="8"/>
      <c r="K195" s="10" t="str">
        <f>IF(OR(I195="",J195=""),"",IFERROR(VLOOKUP(I195,'99_Lookups'!$A$2:$B$4,2,FALSE),"")*IFERROR(VLOOKUP(J195,'99_Lookups'!$A$2:$B$4,2,FALSE),""))</f>
        <v/>
      </c>
      <c r="L195" s="5" t="str">
        <f t="shared" si="13"/>
        <v/>
      </c>
      <c r="M195" s="8"/>
      <c r="N195" s="7"/>
    </row>
    <row r="196" spans="1:14">
      <c r="A196" s="9" t="str">
        <f t="shared" si="12"/>
        <v/>
      </c>
      <c r="B196" s="8"/>
      <c r="C196" s="7"/>
      <c r="D196" s="7"/>
      <c r="E196" s="7"/>
      <c r="F196" s="8"/>
      <c r="G196" s="8"/>
      <c r="H196" s="8"/>
      <c r="I196" s="8"/>
      <c r="J196" s="8"/>
      <c r="K196" s="10" t="str">
        <f>IF(OR(I196="",J196=""),"",IFERROR(VLOOKUP(I196,'99_Lookups'!$A$2:$B$4,2,FALSE),"")*IFERROR(VLOOKUP(J196,'99_Lookups'!$A$2:$B$4,2,FALSE),""))</f>
        <v/>
      </c>
      <c r="L196" s="5" t="str">
        <f t="shared" si="13"/>
        <v/>
      </c>
      <c r="M196" s="8"/>
      <c r="N196" s="7"/>
    </row>
    <row r="197" spans="1:14">
      <c r="A197" s="9" t="str">
        <f t="shared" si="12"/>
        <v/>
      </c>
      <c r="B197" s="8"/>
      <c r="C197" s="7"/>
      <c r="D197" s="7"/>
      <c r="E197" s="7"/>
      <c r="F197" s="8"/>
      <c r="G197" s="8"/>
      <c r="H197" s="8"/>
      <c r="I197" s="8"/>
      <c r="J197" s="8"/>
      <c r="K197" s="10" t="str">
        <f>IF(OR(I197="",J197=""),"",IFERROR(VLOOKUP(I197,'99_Lookups'!$A$2:$B$4,2,FALSE),"")*IFERROR(VLOOKUP(J197,'99_Lookups'!$A$2:$B$4,2,FALSE),""))</f>
        <v/>
      </c>
      <c r="L197" s="5" t="str">
        <f t="shared" si="13"/>
        <v/>
      </c>
      <c r="M197" s="8"/>
      <c r="N197" s="7"/>
    </row>
    <row r="198" spans="1:14">
      <c r="A198" s="9" t="str">
        <f t="shared" si="12"/>
        <v/>
      </c>
      <c r="B198" s="8"/>
      <c r="C198" s="7"/>
      <c r="D198" s="7"/>
      <c r="E198" s="7"/>
      <c r="F198" s="8"/>
      <c r="G198" s="8"/>
      <c r="H198" s="8"/>
      <c r="I198" s="8"/>
      <c r="J198" s="8"/>
      <c r="K198" s="10" t="str">
        <f>IF(OR(I198="",J198=""),"",IFERROR(VLOOKUP(I198,'99_Lookups'!$A$2:$B$4,2,FALSE),"")*IFERROR(VLOOKUP(J198,'99_Lookups'!$A$2:$B$4,2,FALSE),""))</f>
        <v/>
      </c>
      <c r="L198" s="5" t="str">
        <f t="shared" si="13"/>
        <v/>
      </c>
      <c r="M198" s="8"/>
      <c r="N198" s="7"/>
    </row>
    <row r="199" spans="1:14">
      <c r="A199" s="9" t="str">
        <f t="shared" si="12"/>
        <v/>
      </c>
      <c r="B199" s="8"/>
      <c r="C199" s="7"/>
      <c r="D199" s="7"/>
      <c r="E199" s="7"/>
      <c r="F199" s="8"/>
      <c r="G199" s="8"/>
      <c r="H199" s="8"/>
      <c r="I199" s="8"/>
      <c r="J199" s="8"/>
      <c r="K199" s="10" t="str">
        <f>IF(OR(I199="",J199=""),"",IFERROR(VLOOKUP(I199,'99_Lookups'!$A$2:$B$4,2,FALSE),"")*IFERROR(VLOOKUP(J199,'99_Lookups'!$A$2:$B$4,2,FALSE),""))</f>
        <v/>
      </c>
      <c r="L199" s="5" t="str">
        <f t="shared" si="13"/>
        <v/>
      </c>
      <c r="M199" s="8"/>
      <c r="N199" s="7"/>
    </row>
    <row r="200" spans="1:14">
      <c r="A200" s="9" t="str">
        <f t="shared" si="12"/>
        <v/>
      </c>
      <c r="B200" s="8"/>
      <c r="C200" s="7"/>
      <c r="D200" s="7"/>
      <c r="E200" s="7"/>
      <c r="F200" s="8"/>
      <c r="G200" s="8"/>
      <c r="H200" s="8"/>
      <c r="I200" s="8"/>
      <c r="J200" s="8"/>
      <c r="K200" s="10" t="str">
        <f>IF(OR(I200="",J200=""),"",IFERROR(VLOOKUP(I200,'99_Lookups'!$A$2:$B$4,2,FALSE),"")*IFERROR(VLOOKUP(J200,'99_Lookups'!$A$2:$B$4,2,FALSE),""))</f>
        <v/>
      </c>
      <c r="L200" s="5" t="str">
        <f t="shared" si="13"/>
        <v/>
      </c>
      <c r="M200" s="8"/>
      <c r="N200" s="7"/>
    </row>
    <row r="201" spans="1:14">
      <c r="A201" s="9" t="str">
        <f t="shared" si="12"/>
        <v/>
      </c>
      <c r="B201" s="8"/>
      <c r="C201" s="7"/>
      <c r="D201" s="7"/>
      <c r="E201" s="7"/>
      <c r="F201" s="8"/>
      <c r="G201" s="8"/>
      <c r="H201" s="8"/>
      <c r="I201" s="8"/>
      <c r="J201" s="8"/>
      <c r="K201" s="10" t="str">
        <f>IF(OR(I201="",J201=""),"",IFERROR(VLOOKUP(I201,'99_Lookups'!$A$2:$B$4,2,FALSE),"")*IFERROR(VLOOKUP(J201,'99_Lookups'!$A$2:$B$4,2,FALSE),""))</f>
        <v/>
      </c>
      <c r="L201" s="5" t="str">
        <f t="shared" si="13"/>
        <v/>
      </c>
      <c r="M201" s="8"/>
      <c r="N201" s="7"/>
    </row>
  </sheetData>
  <mergeCells count="2">
    <mergeCell ref="P1:U1"/>
    <mergeCell ref="P2:U3"/>
  </mergeCells>
  <conditionalFormatting sqref="K2:K200">
    <cfRule type="cellIs" dxfId="6" priority="4" operator="greaterThanOrEqual">
      <formula>7</formula>
    </cfRule>
  </conditionalFormatting>
  <conditionalFormatting sqref="L2:L200">
    <cfRule type="expression" dxfId="5" priority="1">
      <formula>$L2="Laag"</formula>
    </cfRule>
    <cfRule type="expression" dxfId="4" priority="2">
      <formula>$L2="Midden"</formula>
    </cfRule>
    <cfRule type="expression" dxfId="3" priority="3">
      <formula>$L2="Hoog"</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8"/>
  <sheetViews>
    <sheetView showGridLines="0" workbookViewId="0">
      <selection activeCell="B5" sqref="B5"/>
    </sheetView>
  </sheetViews>
  <sheetFormatPr defaultRowHeight="14.45"/>
  <cols>
    <col min="1" max="1" width="16" customWidth="1"/>
    <col min="2" max="4" width="12" customWidth="1"/>
    <col min="5" max="5" width="2" customWidth="1"/>
    <col min="6" max="6" width="18" customWidth="1"/>
  </cols>
  <sheetData>
    <row r="1" spans="1:7" ht="24" customHeight="1">
      <c r="A1" s="53" t="s">
        <v>323</v>
      </c>
      <c r="B1" s="54"/>
      <c r="C1" s="54"/>
      <c r="D1" s="54"/>
      <c r="E1" s="54"/>
    </row>
    <row r="3" spans="1:7">
      <c r="A3" s="3" t="s">
        <v>324</v>
      </c>
      <c r="B3" s="3" t="s">
        <v>132</v>
      </c>
      <c r="C3" s="3" t="s">
        <v>325</v>
      </c>
      <c r="D3" s="3" t="s">
        <v>326</v>
      </c>
      <c r="F3" s="11" t="s">
        <v>327</v>
      </c>
    </row>
    <row r="4" spans="1:7">
      <c r="A4" s="3" t="s">
        <v>132</v>
      </c>
      <c r="B4" s="41">
        <f>COUNTIFS('06_Risicoregister'!$I$2:$I$200,"L",'06_Risicoregister'!$J$2:$J$200,"L")</f>
        <v>0</v>
      </c>
      <c r="C4" s="41">
        <f>COUNTIFS('06_Risicoregister'!$I$2:$I$200,"L",'06_Risicoregister'!$J$2:$J$200,"M")</f>
        <v>0</v>
      </c>
      <c r="D4" s="12">
        <f>COUNTIFS('06_Risicoregister'!$I$2:$I$200,"L",'06_Risicoregister'!$J$2:$J$200,"H")</f>
        <v>0</v>
      </c>
      <c r="F4" s="39" t="s">
        <v>328</v>
      </c>
    </row>
    <row r="5" spans="1:7" ht="15">
      <c r="A5" s="3" t="s">
        <v>325</v>
      </c>
      <c r="B5" s="41">
        <f>COUNTIFS('06_Risicoregister'!$I$2:$I$200,"M",'06_Risicoregister'!$J$2:$J$200,"L")</f>
        <v>0</v>
      </c>
      <c r="C5" s="41">
        <f>COUNTIFS('06_Risicoregister'!$I$2:$I$200,"M",'06_Risicoregister'!$J$2:$J$200,"M")</f>
        <v>0</v>
      </c>
      <c r="D5" s="36">
        <f>COUNTIFS('06_Risicoregister'!$I$2:$I$200,"M",'06_Risicoregister'!$J$2:$J$200,"H")</f>
        <v>10</v>
      </c>
      <c r="F5" s="37" t="s">
        <v>329</v>
      </c>
      <c r="G5" t="s">
        <v>159</v>
      </c>
    </row>
    <row r="6" spans="1:7" ht="15">
      <c r="A6" s="3" t="s">
        <v>326</v>
      </c>
      <c r="B6" s="12">
        <f>COUNTIFS('06_Risicoregister'!$I$2:$I$200,"H",'06_Risicoregister'!$J$2:$J$200,"L")</f>
        <v>0</v>
      </c>
      <c r="C6" s="12">
        <f>COUNTIFS('06_Risicoregister'!$I$2:$I$200,"H",'06_Risicoregister'!$J$2:$J$200,"M")</f>
        <v>0</v>
      </c>
      <c r="D6" s="40">
        <f>COUNTIFS('06_Risicoregister'!$I$2:$I$200,"H",'06_Risicoregister'!$J$2:$J$200,"H")</f>
        <v>2</v>
      </c>
      <c r="F6" s="38" t="s">
        <v>330</v>
      </c>
    </row>
    <row r="8" spans="1:7">
      <c r="C8" t="s">
        <v>265</v>
      </c>
    </row>
  </sheetData>
  <mergeCells count="1">
    <mergeCell ref="A1:E1"/>
  </mergeCells>
  <conditionalFormatting sqref="B4:D6">
    <cfRule type="cellIs" dxfId="2" priority="1" operator="greaterThanOrEqual">
      <formula>3</formula>
    </cfRule>
    <cfRule type="cellIs" dxfId="1" priority="2" operator="greaterThanOrEqual">
      <formula>6</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01"/>
  <sheetViews>
    <sheetView showGridLines="0" zoomScale="70" zoomScaleNormal="70" workbookViewId="0">
      <selection activeCell="E28" sqref="E28"/>
    </sheetView>
  </sheetViews>
  <sheetFormatPr defaultRowHeight="14.45"/>
  <cols>
    <col min="1" max="1" width="5" customWidth="1"/>
    <col min="2" max="2" width="10" customWidth="1"/>
    <col min="3" max="3" width="37.28515625" customWidth="1"/>
    <col min="4" max="4" width="48.28515625" customWidth="1"/>
    <col min="5" max="5" width="69" customWidth="1"/>
    <col min="6" max="6" width="50.42578125" customWidth="1"/>
    <col min="7" max="7" width="45.28515625" customWidth="1"/>
    <col min="8" max="8" width="16" customWidth="1"/>
  </cols>
  <sheetData>
    <row r="1" spans="1:8">
      <c r="A1" s="3" t="s">
        <v>35</v>
      </c>
      <c r="B1" s="3" t="s">
        <v>264</v>
      </c>
      <c r="C1" s="3" t="s">
        <v>331</v>
      </c>
      <c r="D1" s="3" t="s">
        <v>158</v>
      </c>
      <c r="E1" s="3" t="s">
        <v>332</v>
      </c>
      <c r="F1" s="3" t="s">
        <v>333</v>
      </c>
      <c r="G1" s="3" t="s">
        <v>334</v>
      </c>
      <c r="H1" s="3" t="s">
        <v>335</v>
      </c>
    </row>
    <row r="2" spans="1:8">
      <c r="A2" s="5">
        <v>1</v>
      </c>
      <c r="B2" s="7"/>
      <c r="C2" s="7"/>
      <c r="D2" s="7"/>
      <c r="E2" s="7"/>
      <c r="F2" s="7"/>
      <c r="G2" s="7"/>
      <c r="H2" s="7"/>
    </row>
    <row r="3" spans="1:8">
      <c r="A3" s="5">
        <v>2</v>
      </c>
      <c r="B3" s="7"/>
      <c r="C3" s="7"/>
      <c r="D3" s="7"/>
      <c r="E3" s="7"/>
      <c r="F3" s="7"/>
      <c r="G3" s="7"/>
      <c r="H3" s="7"/>
    </row>
    <row r="4" spans="1:8">
      <c r="A4" s="5">
        <v>3</v>
      </c>
      <c r="B4" s="7"/>
      <c r="C4" s="7"/>
      <c r="D4" s="7"/>
      <c r="E4" s="7"/>
      <c r="F4" s="7"/>
      <c r="G4" s="7"/>
      <c r="H4" s="7"/>
    </row>
    <row r="5" spans="1:8">
      <c r="A5" s="5">
        <v>4</v>
      </c>
      <c r="B5" s="7"/>
      <c r="C5" s="7"/>
      <c r="D5" s="7"/>
      <c r="E5" s="7"/>
      <c r="F5" s="7"/>
      <c r="G5" s="7"/>
      <c r="H5" s="7"/>
    </row>
    <row r="6" spans="1:8">
      <c r="A6" s="5">
        <v>5</v>
      </c>
      <c r="B6" s="7"/>
      <c r="C6" s="7"/>
      <c r="D6" s="7"/>
      <c r="E6" s="7"/>
      <c r="F6" s="7"/>
      <c r="G6" s="7"/>
      <c r="H6" s="7"/>
    </row>
    <row r="7" spans="1:8">
      <c r="A7" s="5">
        <v>6</v>
      </c>
      <c r="B7" s="7"/>
      <c r="C7" s="7"/>
      <c r="D7" s="7"/>
      <c r="E7" s="7"/>
      <c r="F7" s="7"/>
      <c r="G7" s="7"/>
      <c r="H7" s="7"/>
    </row>
    <row r="8" spans="1:8">
      <c r="A8" s="5">
        <v>7</v>
      </c>
      <c r="B8" s="7"/>
      <c r="C8" s="7"/>
      <c r="D8" s="7"/>
      <c r="E8" s="7"/>
      <c r="F8" s="7"/>
      <c r="G8" s="7"/>
      <c r="H8" s="7"/>
    </row>
    <row r="9" spans="1:8">
      <c r="A9" s="5">
        <v>8</v>
      </c>
      <c r="B9" s="7"/>
      <c r="C9" s="7"/>
      <c r="D9" s="7"/>
      <c r="E9" s="7"/>
      <c r="F9" s="7"/>
      <c r="G9" s="7"/>
      <c r="H9" s="7"/>
    </row>
    <row r="10" spans="1:8">
      <c r="A10" s="5">
        <v>9</v>
      </c>
      <c r="B10" s="7"/>
      <c r="C10" s="7"/>
      <c r="D10" s="7"/>
      <c r="E10" s="7"/>
      <c r="F10" s="7"/>
      <c r="G10" s="7"/>
      <c r="H10" s="7"/>
    </row>
    <row r="11" spans="1:8">
      <c r="A11" s="5">
        <v>10</v>
      </c>
      <c r="B11" s="7"/>
      <c r="C11" s="7"/>
      <c r="D11" s="7"/>
      <c r="E11" s="7"/>
      <c r="F11" s="7"/>
      <c r="G11" s="7"/>
      <c r="H11" s="7"/>
    </row>
    <row r="12" spans="1:8">
      <c r="A12" s="5">
        <v>11</v>
      </c>
      <c r="B12" s="7"/>
      <c r="C12" s="7"/>
      <c r="D12" s="7"/>
      <c r="E12" s="7"/>
      <c r="F12" s="7"/>
      <c r="G12" s="7"/>
      <c r="H12" s="7"/>
    </row>
    <row r="13" spans="1:8">
      <c r="A13" s="5">
        <v>12</v>
      </c>
      <c r="B13" s="7"/>
      <c r="C13" s="7"/>
      <c r="D13" s="7"/>
      <c r="E13" s="7"/>
      <c r="F13" s="7"/>
      <c r="G13" s="7"/>
      <c r="H13" s="7"/>
    </row>
    <row r="14" spans="1:8">
      <c r="A14" s="5">
        <v>13</v>
      </c>
      <c r="B14" s="7"/>
      <c r="C14" s="7"/>
      <c r="D14" s="7"/>
      <c r="E14" s="7"/>
      <c r="F14" s="7"/>
      <c r="G14" s="7"/>
      <c r="H14" s="7"/>
    </row>
    <row r="15" spans="1:8">
      <c r="A15" s="5">
        <v>14</v>
      </c>
      <c r="B15" s="7"/>
      <c r="C15" s="7"/>
      <c r="D15" s="7"/>
      <c r="E15" s="7"/>
      <c r="F15" s="7"/>
      <c r="G15" s="7"/>
      <c r="H15" s="7"/>
    </row>
    <row r="16" spans="1:8">
      <c r="A16" s="5">
        <v>15</v>
      </c>
      <c r="B16" s="7"/>
      <c r="C16" s="7"/>
      <c r="D16" s="7"/>
      <c r="E16" s="7"/>
      <c r="F16" s="7"/>
      <c r="G16" s="7"/>
      <c r="H16" s="7"/>
    </row>
    <row r="17" spans="1:8">
      <c r="A17" s="5">
        <v>16</v>
      </c>
      <c r="B17" s="7"/>
      <c r="C17" s="7"/>
      <c r="D17" s="7"/>
      <c r="E17" s="7"/>
      <c r="F17" s="7"/>
      <c r="G17" s="7"/>
      <c r="H17" s="7"/>
    </row>
    <row r="18" spans="1:8">
      <c r="A18" s="5">
        <v>17</v>
      </c>
      <c r="B18" s="7"/>
      <c r="C18" s="7"/>
      <c r="D18" s="7"/>
      <c r="E18" s="7"/>
      <c r="F18" s="7"/>
      <c r="G18" s="7"/>
      <c r="H18" s="7"/>
    </row>
    <row r="19" spans="1:8">
      <c r="A19" s="5">
        <v>18</v>
      </c>
      <c r="B19" s="7"/>
      <c r="C19" s="7"/>
      <c r="D19" s="7"/>
      <c r="E19" s="7"/>
      <c r="F19" s="7"/>
      <c r="G19" s="7"/>
      <c r="H19" s="7"/>
    </row>
    <row r="20" spans="1:8">
      <c r="A20" s="5">
        <v>19</v>
      </c>
      <c r="B20" s="7"/>
      <c r="C20" s="7"/>
      <c r="D20" s="7"/>
      <c r="E20" s="7"/>
      <c r="F20" s="7"/>
      <c r="G20" s="7"/>
      <c r="H20" s="7"/>
    </row>
    <row r="21" spans="1:8">
      <c r="A21" s="5">
        <v>20</v>
      </c>
      <c r="B21" s="7"/>
      <c r="C21" s="7"/>
      <c r="D21" s="7"/>
      <c r="E21" s="7"/>
      <c r="F21" s="7"/>
      <c r="G21" s="7"/>
      <c r="H21" s="7"/>
    </row>
    <row r="22" spans="1:8">
      <c r="A22" s="5">
        <v>21</v>
      </c>
      <c r="B22" s="7"/>
      <c r="C22" s="7"/>
      <c r="D22" s="7"/>
      <c r="E22" s="7"/>
      <c r="F22" s="7"/>
      <c r="G22" s="7"/>
      <c r="H22" s="7"/>
    </row>
    <row r="23" spans="1:8">
      <c r="A23" s="5">
        <v>22</v>
      </c>
      <c r="B23" s="7"/>
      <c r="C23" s="7"/>
      <c r="D23" s="7"/>
      <c r="E23" s="7"/>
      <c r="F23" s="7"/>
      <c r="G23" s="7"/>
      <c r="H23" s="7"/>
    </row>
    <row r="24" spans="1:8">
      <c r="A24" s="5">
        <v>23</v>
      </c>
      <c r="B24" s="7"/>
      <c r="C24" s="7"/>
      <c r="D24" s="7"/>
      <c r="E24" s="7"/>
      <c r="F24" s="7"/>
      <c r="G24" s="7"/>
      <c r="H24" s="7"/>
    </row>
    <row r="25" spans="1:8">
      <c r="A25" s="5">
        <v>24</v>
      </c>
      <c r="B25" s="7"/>
      <c r="C25" s="7"/>
      <c r="D25" s="7"/>
      <c r="E25" s="7"/>
      <c r="F25" s="7"/>
      <c r="G25" s="7"/>
      <c r="H25" s="7"/>
    </row>
    <row r="26" spans="1:8">
      <c r="A26" s="5">
        <v>25</v>
      </c>
      <c r="B26" s="7"/>
      <c r="C26" s="7"/>
      <c r="D26" s="7"/>
      <c r="E26" s="7"/>
      <c r="F26" s="7"/>
      <c r="G26" s="7"/>
      <c r="H26" s="7"/>
    </row>
    <row r="27" spans="1:8">
      <c r="A27" s="5">
        <v>26</v>
      </c>
      <c r="B27" s="7"/>
      <c r="C27" s="7"/>
      <c r="D27" s="7"/>
      <c r="E27" s="7"/>
      <c r="F27" s="7"/>
      <c r="G27" s="7"/>
      <c r="H27" s="7"/>
    </row>
    <row r="28" spans="1:8">
      <c r="A28" s="5">
        <v>27</v>
      </c>
      <c r="B28" s="7"/>
      <c r="C28" s="7"/>
      <c r="D28" s="7"/>
      <c r="E28" s="7"/>
      <c r="F28" s="7"/>
      <c r="G28" s="7"/>
      <c r="H28" s="7"/>
    </row>
    <row r="29" spans="1:8">
      <c r="A29" s="5">
        <v>28</v>
      </c>
      <c r="B29" s="7"/>
      <c r="C29" s="7"/>
      <c r="D29" s="7"/>
      <c r="E29" s="7"/>
      <c r="F29" s="7"/>
      <c r="G29" s="7"/>
      <c r="H29" s="7"/>
    </row>
    <row r="30" spans="1:8">
      <c r="A30" s="5">
        <v>29</v>
      </c>
      <c r="B30" s="7"/>
      <c r="C30" s="7"/>
      <c r="D30" s="7"/>
      <c r="E30" s="7"/>
      <c r="F30" s="7"/>
      <c r="G30" s="7"/>
      <c r="H30" s="7"/>
    </row>
    <row r="31" spans="1:8">
      <c r="A31" s="5">
        <v>30</v>
      </c>
      <c r="B31" s="7"/>
      <c r="C31" s="7"/>
      <c r="D31" s="7"/>
      <c r="E31" s="7"/>
      <c r="F31" s="7"/>
      <c r="G31" s="7"/>
      <c r="H31" s="7"/>
    </row>
    <row r="32" spans="1:8">
      <c r="A32" s="5">
        <v>31</v>
      </c>
      <c r="B32" s="7"/>
      <c r="C32" s="7"/>
      <c r="D32" s="7"/>
      <c r="E32" s="7"/>
      <c r="F32" s="7"/>
      <c r="G32" s="7"/>
      <c r="H32" s="7"/>
    </row>
    <row r="33" spans="1:8">
      <c r="A33" s="5">
        <v>32</v>
      </c>
      <c r="B33" s="7"/>
      <c r="C33" s="7"/>
      <c r="D33" s="7"/>
      <c r="E33" s="7"/>
      <c r="F33" s="7"/>
      <c r="G33" s="7"/>
      <c r="H33" s="7"/>
    </row>
    <row r="34" spans="1:8">
      <c r="A34" s="5">
        <v>33</v>
      </c>
      <c r="B34" s="7"/>
      <c r="C34" s="7"/>
      <c r="D34" s="7"/>
      <c r="E34" s="7"/>
      <c r="F34" s="7"/>
      <c r="G34" s="7"/>
      <c r="H34" s="7"/>
    </row>
    <row r="35" spans="1:8">
      <c r="A35" s="5">
        <v>34</v>
      </c>
      <c r="B35" s="7"/>
      <c r="C35" s="7"/>
      <c r="D35" s="7"/>
      <c r="E35" s="7"/>
      <c r="F35" s="7"/>
      <c r="G35" s="7"/>
      <c r="H35" s="7"/>
    </row>
    <row r="36" spans="1:8">
      <c r="A36" s="5">
        <v>35</v>
      </c>
      <c r="B36" s="7"/>
      <c r="C36" s="7"/>
      <c r="D36" s="7"/>
      <c r="E36" s="7"/>
      <c r="F36" s="7"/>
      <c r="G36" s="7"/>
      <c r="H36" s="7"/>
    </row>
    <row r="37" spans="1:8">
      <c r="A37" s="5">
        <v>36</v>
      </c>
      <c r="B37" s="7"/>
      <c r="C37" s="7"/>
      <c r="D37" s="7"/>
      <c r="E37" s="7"/>
      <c r="F37" s="7"/>
      <c r="G37" s="7"/>
      <c r="H37" s="7"/>
    </row>
    <row r="38" spans="1:8">
      <c r="A38" s="5">
        <v>37</v>
      </c>
      <c r="B38" s="7"/>
      <c r="C38" s="7"/>
      <c r="D38" s="7"/>
      <c r="E38" s="7"/>
      <c r="F38" s="7"/>
      <c r="G38" s="7"/>
      <c r="H38" s="7"/>
    </row>
    <row r="39" spans="1:8">
      <c r="A39" s="5">
        <v>38</v>
      </c>
      <c r="B39" s="7"/>
      <c r="C39" s="7"/>
      <c r="D39" s="7"/>
      <c r="E39" s="7"/>
      <c r="F39" s="7"/>
      <c r="G39" s="7"/>
      <c r="H39" s="7"/>
    </row>
    <row r="40" spans="1:8">
      <c r="A40" s="5">
        <v>39</v>
      </c>
      <c r="B40" s="7"/>
      <c r="C40" s="7"/>
      <c r="D40" s="7"/>
      <c r="E40" s="7"/>
      <c r="F40" s="7"/>
      <c r="G40" s="7"/>
      <c r="H40" s="7"/>
    </row>
    <row r="41" spans="1:8">
      <c r="A41" s="5">
        <v>40</v>
      </c>
      <c r="B41" s="7"/>
      <c r="C41" s="7"/>
      <c r="D41" s="7"/>
      <c r="E41" s="7"/>
      <c r="F41" s="7"/>
      <c r="G41" s="7"/>
      <c r="H41" s="7"/>
    </row>
    <row r="42" spans="1:8">
      <c r="A42" s="5">
        <v>41</v>
      </c>
      <c r="B42" s="7"/>
      <c r="C42" s="7"/>
      <c r="D42" s="7"/>
      <c r="E42" s="7"/>
      <c r="F42" s="7"/>
      <c r="G42" s="7"/>
      <c r="H42" s="7"/>
    </row>
    <row r="43" spans="1:8">
      <c r="A43" s="5">
        <v>42</v>
      </c>
      <c r="B43" s="7"/>
      <c r="C43" s="7"/>
      <c r="D43" s="7"/>
      <c r="E43" s="7"/>
      <c r="F43" s="7"/>
      <c r="G43" s="7"/>
      <c r="H43" s="7"/>
    </row>
    <row r="44" spans="1:8">
      <c r="A44" s="5">
        <v>43</v>
      </c>
      <c r="B44" s="7"/>
      <c r="C44" s="7"/>
      <c r="D44" s="7"/>
      <c r="E44" s="7"/>
      <c r="F44" s="7"/>
      <c r="G44" s="7"/>
      <c r="H44" s="7"/>
    </row>
    <row r="45" spans="1:8">
      <c r="A45" s="5">
        <v>44</v>
      </c>
      <c r="B45" s="7"/>
      <c r="C45" s="7"/>
      <c r="D45" s="7"/>
      <c r="E45" s="7"/>
      <c r="F45" s="7"/>
      <c r="G45" s="7"/>
      <c r="H45" s="7"/>
    </row>
    <row r="46" spans="1:8">
      <c r="A46" s="5">
        <v>45</v>
      </c>
      <c r="B46" s="7"/>
      <c r="C46" s="7"/>
      <c r="D46" s="7"/>
      <c r="E46" s="7"/>
      <c r="F46" s="7"/>
      <c r="G46" s="7"/>
      <c r="H46" s="7"/>
    </row>
    <row r="47" spans="1:8">
      <c r="A47" s="5">
        <v>46</v>
      </c>
      <c r="B47" s="7"/>
      <c r="C47" s="7"/>
      <c r="D47" s="7"/>
      <c r="E47" s="7"/>
      <c r="F47" s="7"/>
      <c r="G47" s="7"/>
      <c r="H47" s="7"/>
    </row>
    <row r="48" spans="1:8">
      <c r="A48" s="5">
        <v>47</v>
      </c>
      <c r="B48" s="7"/>
      <c r="C48" s="7"/>
      <c r="D48" s="7"/>
      <c r="E48" s="7"/>
      <c r="F48" s="7"/>
      <c r="G48" s="7"/>
      <c r="H48" s="7"/>
    </row>
    <row r="49" spans="1:8">
      <c r="A49" s="5">
        <v>48</v>
      </c>
      <c r="B49" s="7"/>
      <c r="C49" s="7"/>
      <c r="D49" s="7"/>
      <c r="E49" s="7"/>
      <c r="F49" s="7"/>
      <c r="G49" s="7"/>
      <c r="H49" s="7"/>
    </row>
    <row r="50" spans="1:8">
      <c r="A50" s="5">
        <v>49</v>
      </c>
      <c r="B50" s="7"/>
      <c r="C50" s="7"/>
      <c r="D50" s="7"/>
      <c r="E50" s="7"/>
      <c r="F50" s="7"/>
      <c r="G50" s="7"/>
      <c r="H50" s="7"/>
    </row>
    <row r="51" spans="1:8">
      <c r="A51" s="5">
        <v>50</v>
      </c>
      <c r="B51" s="7"/>
      <c r="C51" s="7"/>
      <c r="D51" s="7"/>
      <c r="E51" s="7"/>
      <c r="F51" s="7"/>
      <c r="G51" s="7"/>
      <c r="H51" s="7"/>
    </row>
    <row r="52" spans="1:8">
      <c r="A52" s="5">
        <v>51</v>
      </c>
      <c r="B52" s="7"/>
      <c r="C52" s="7"/>
      <c r="D52" s="7"/>
      <c r="E52" s="7"/>
      <c r="F52" s="7"/>
      <c r="G52" s="7"/>
      <c r="H52" s="7"/>
    </row>
    <row r="53" spans="1:8">
      <c r="A53" s="5">
        <v>52</v>
      </c>
      <c r="B53" s="7"/>
      <c r="C53" s="7"/>
      <c r="D53" s="7"/>
      <c r="E53" s="7"/>
      <c r="F53" s="7"/>
      <c r="G53" s="7"/>
      <c r="H53" s="7"/>
    </row>
    <row r="54" spans="1:8">
      <c r="A54" s="5">
        <v>53</v>
      </c>
      <c r="B54" s="7"/>
      <c r="C54" s="7"/>
      <c r="D54" s="7"/>
      <c r="E54" s="7"/>
      <c r="F54" s="7"/>
      <c r="G54" s="7"/>
      <c r="H54" s="7"/>
    </row>
    <row r="55" spans="1:8">
      <c r="A55" s="5">
        <v>54</v>
      </c>
      <c r="B55" s="7"/>
      <c r="C55" s="7"/>
      <c r="D55" s="7"/>
      <c r="E55" s="7"/>
      <c r="F55" s="7"/>
      <c r="G55" s="7"/>
      <c r="H55" s="7"/>
    </row>
    <row r="56" spans="1:8">
      <c r="A56" s="5">
        <v>55</v>
      </c>
      <c r="B56" s="7"/>
      <c r="C56" s="7"/>
      <c r="D56" s="7"/>
      <c r="E56" s="7"/>
      <c r="F56" s="7"/>
      <c r="G56" s="7"/>
      <c r="H56" s="7"/>
    </row>
    <row r="57" spans="1:8">
      <c r="A57" s="5">
        <v>56</v>
      </c>
      <c r="B57" s="7"/>
      <c r="C57" s="7"/>
      <c r="D57" s="7"/>
      <c r="E57" s="7"/>
      <c r="F57" s="7"/>
      <c r="G57" s="7"/>
      <c r="H57" s="7"/>
    </row>
    <row r="58" spans="1:8">
      <c r="A58" s="5">
        <v>57</v>
      </c>
      <c r="B58" s="7"/>
      <c r="C58" s="7"/>
      <c r="D58" s="7"/>
      <c r="E58" s="7"/>
      <c r="F58" s="7"/>
      <c r="G58" s="7"/>
      <c r="H58" s="7"/>
    </row>
    <row r="59" spans="1:8">
      <c r="A59" s="5">
        <v>58</v>
      </c>
      <c r="B59" s="7"/>
      <c r="C59" s="7"/>
      <c r="D59" s="7"/>
      <c r="E59" s="7"/>
      <c r="F59" s="7"/>
      <c r="G59" s="7"/>
      <c r="H59" s="7"/>
    </row>
    <row r="60" spans="1:8">
      <c r="A60" s="5">
        <v>59</v>
      </c>
      <c r="B60" s="7"/>
      <c r="C60" s="7"/>
      <c r="D60" s="7"/>
      <c r="E60" s="7"/>
      <c r="F60" s="7"/>
      <c r="G60" s="7"/>
      <c r="H60" s="7"/>
    </row>
    <row r="61" spans="1:8">
      <c r="A61" s="5">
        <v>60</v>
      </c>
      <c r="B61" s="7"/>
      <c r="C61" s="7"/>
      <c r="D61" s="7"/>
      <c r="E61" s="7"/>
      <c r="F61" s="7"/>
      <c r="G61" s="7"/>
      <c r="H61" s="7"/>
    </row>
    <row r="62" spans="1:8">
      <c r="A62" s="5">
        <v>61</v>
      </c>
      <c r="B62" s="7"/>
      <c r="C62" s="7"/>
      <c r="D62" s="7"/>
      <c r="E62" s="7"/>
      <c r="F62" s="7"/>
      <c r="G62" s="7"/>
      <c r="H62" s="7"/>
    </row>
    <row r="63" spans="1:8">
      <c r="A63" s="5">
        <v>62</v>
      </c>
      <c r="B63" s="7"/>
      <c r="C63" s="7"/>
      <c r="D63" s="7"/>
      <c r="E63" s="7"/>
      <c r="F63" s="7"/>
      <c r="G63" s="7"/>
      <c r="H63" s="7"/>
    </row>
    <row r="64" spans="1:8">
      <c r="A64" s="5">
        <v>63</v>
      </c>
      <c r="B64" s="7"/>
      <c r="C64" s="7"/>
      <c r="D64" s="7"/>
      <c r="E64" s="7"/>
      <c r="F64" s="7"/>
      <c r="G64" s="7"/>
      <c r="H64" s="7"/>
    </row>
    <row r="65" spans="1:8">
      <c r="A65" s="5">
        <v>64</v>
      </c>
      <c r="B65" s="7"/>
      <c r="C65" s="7"/>
      <c r="D65" s="7"/>
      <c r="E65" s="7"/>
      <c r="F65" s="7"/>
      <c r="G65" s="7"/>
      <c r="H65" s="7"/>
    </row>
    <row r="66" spans="1:8">
      <c r="A66" s="5">
        <v>65</v>
      </c>
      <c r="B66" s="7"/>
      <c r="C66" s="7"/>
      <c r="D66" s="7"/>
      <c r="E66" s="7"/>
      <c r="F66" s="7"/>
      <c r="G66" s="7"/>
      <c r="H66" s="7"/>
    </row>
    <row r="67" spans="1:8">
      <c r="A67" s="5">
        <v>66</v>
      </c>
      <c r="B67" s="7"/>
      <c r="C67" s="7"/>
      <c r="D67" s="7"/>
      <c r="E67" s="7"/>
      <c r="F67" s="7"/>
      <c r="G67" s="7"/>
      <c r="H67" s="7"/>
    </row>
    <row r="68" spans="1:8">
      <c r="A68" s="5">
        <v>67</v>
      </c>
      <c r="B68" s="7"/>
      <c r="C68" s="7"/>
      <c r="D68" s="7"/>
      <c r="E68" s="7"/>
      <c r="F68" s="7"/>
      <c r="G68" s="7"/>
      <c r="H68" s="7"/>
    </row>
    <row r="69" spans="1:8">
      <c r="A69" s="5">
        <v>68</v>
      </c>
      <c r="B69" s="7"/>
      <c r="C69" s="7"/>
      <c r="D69" s="7"/>
      <c r="E69" s="7"/>
      <c r="F69" s="7"/>
      <c r="G69" s="7"/>
      <c r="H69" s="7"/>
    </row>
    <row r="70" spans="1:8">
      <c r="A70" s="5">
        <v>69</v>
      </c>
      <c r="B70" s="7"/>
      <c r="C70" s="7"/>
      <c r="D70" s="7"/>
      <c r="E70" s="7"/>
      <c r="F70" s="7"/>
      <c r="G70" s="7"/>
      <c r="H70" s="7"/>
    </row>
    <row r="71" spans="1:8">
      <c r="A71" s="5">
        <v>70</v>
      </c>
      <c r="B71" s="7"/>
      <c r="C71" s="7"/>
      <c r="D71" s="7"/>
      <c r="E71" s="7"/>
      <c r="F71" s="7"/>
      <c r="G71" s="7"/>
      <c r="H71" s="7"/>
    </row>
    <row r="72" spans="1:8">
      <c r="A72" s="5">
        <v>71</v>
      </c>
      <c r="B72" s="7"/>
      <c r="C72" s="7"/>
      <c r="D72" s="7"/>
      <c r="E72" s="7"/>
      <c r="F72" s="7"/>
      <c r="G72" s="7"/>
      <c r="H72" s="7"/>
    </row>
    <row r="73" spans="1:8">
      <c r="A73" s="5">
        <v>72</v>
      </c>
      <c r="B73" s="7"/>
      <c r="C73" s="7"/>
      <c r="D73" s="7"/>
      <c r="E73" s="7"/>
      <c r="F73" s="7"/>
      <c r="G73" s="7"/>
      <c r="H73" s="7"/>
    </row>
    <row r="74" spans="1:8">
      <c r="A74" s="5">
        <v>73</v>
      </c>
      <c r="B74" s="7"/>
      <c r="C74" s="7"/>
      <c r="D74" s="7"/>
      <c r="E74" s="7"/>
      <c r="F74" s="7"/>
      <c r="G74" s="7"/>
      <c r="H74" s="7"/>
    </row>
    <row r="75" spans="1:8">
      <c r="A75" s="5">
        <v>74</v>
      </c>
      <c r="B75" s="7"/>
      <c r="C75" s="7"/>
      <c r="D75" s="7"/>
      <c r="E75" s="7"/>
      <c r="F75" s="7"/>
      <c r="G75" s="7"/>
      <c r="H75" s="7"/>
    </row>
    <row r="76" spans="1:8">
      <c r="A76" s="5">
        <v>75</v>
      </c>
      <c r="B76" s="7"/>
      <c r="C76" s="7"/>
      <c r="D76" s="7"/>
      <c r="E76" s="7"/>
      <c r="F76" s="7"/>
      <c r="G76" s="7"/>
      <c r="H76" s="7"/>
    </row>
    <row r="77" spans="1:8">
      <c r="A77" s="5">
        <v>76</v>
      </c>
      <c r="B77" s="7"/>
      <c r="C77" s="7"/>
      <c r="D77" s="7"/>
      <c r="E77" s="7"/>
      <c r="F77" s="7"/>
      <c r="G77" s="7"/>
      <c r="H77" s="7"/>
    </row>
    <row r="78" spans="1:8">
      <c r="A78" s="5">
        <v>77</v>
      </c>
      <c r="B78" s="7"/>
      <c r="C78" s="7"/>
      <c r="D78" s="7"/>
      <c r="E78" s="7"/>
      <c r="F78" s="7"/>
      <c r="G78" s="7"/>
      <c r="H78" s="7"/>
    </row>
    <row r="79" spans="1:8">
      <c r="A79" s="5">
        <v>78</v>
      </c>
      <c r="B79" s="7"/>
      <c r="C79" s="7"/>
      <c r="D79" s="7"/>
      <c r="E79" s="7"/>
      <c r="F79" s="7"/>
      <c r="G79" s="7"/>
      <c r="H79" s="7"/>
    </row>
    <row r="80" spans="1:8">
      <c r="A80" s="5">
        <v>79</v>
      </c>
      <c r="B80" s="7"/>
      <c r="C80" s="7"/>
      <c r="D80" s="7"/>
      <c r="E80" s="7"/>
      <c r="F80" s="7"/>
      <c r="G80" s="7"/>
      <c r="H80" s="7"/>
    </row>
    <row r="81" spans="1:8">
      <c r="A81" s="5">
        <v>80</v>
      </c>
      <c r="B81" s="7"/>
      <c r="C81" s="7"/>
      <c r="D81" s="7"/>
      <c r="E81" s="7"/>
      <c r="F81" s="7"/>
      <c r="G81" s="7"/>
      <c r="H81" s="7"/>
    </row>
    <row r="82" spans="1:8">
      <c r="A82" s="5">
        <v>81</v>
      </c>
      <c r="B82" s="7"/>
      <c r="C82" s="7"/>
      <c r="D82" s="7"/>
      <c r="E82" s="7"/>
      <c r="F82" s="7"/>
      <c r="G82" s="7"/>
      <c r="H82" s="7"/>
    </row>
    <row r="83" spans="1:8">
      <c r="A83" s="5">
        <v>82</v>
      </c>
      <c r="B83" s="7"/>
      <c r="C83" s="7"/>
      <c r="D83" s="7"/>
      <c r="E83" s="7"/>
      <c r="F83" s="7"/>
      <c r="G83" s="7"/>
      <c r="H83" s="7"/>
    </row>
    <row r="84" spans="1:8">
      <c r="A84" s="5">
        <v>83</v>
      </c>
      <c r="B84" s="7"/>
      <c r="C84" s="7"/>
      <c r="D84" s="7"/>
      <c r="E84" s="7"/>
      <c r="F84" s="7"/>
      <c r="G84" s="7"/>
      <c r="H84" s="7"/>
    </row>
    <row r="85" spans="1:8">
      <c r="A85" s="5">
        <v>84</v>
      </c>
      <c r="B85" s="7"/>
      <c r="C85" s="7"/>
      <c r="D85" s="7"/>
      <c r="E85" s="7"/>
      <c r="F85" s="7"/>
      <c r="G85" s="7"/>
      <c r="H85" s="7"/>
    </row>
    <row r="86" spans="1:8">
      <c r="A86" s="5">
        <v>85</v>
      </c>
      <c r="B86" s="7"/>
      <c r="C86" s="7"/>
      <c r="D86" s="7"/>
      <c r="E86" s="7"/>
      <c r="F86" s="7"/>
      <c r="G86" s="7"/>
      <c r="H86" s="7"/>
    </row>
    <row r="87" spans="1:8">
      <c r="A87" s="5">
        <v>86</v>
      </c>
      <c r="B87" s="7"/>
      <c r="C87" s="7"/>
      <c r="D87" s="7"/>
      <c r="E87" s="7"/>
      <c r="F87" s="7"/>
      <c r="G87" s="7"/>
      <c r="H87" s="7"/>
    </row>
    <row r="88" spans="1:8">
      <c r="A88" s="5">
        <v>87</v>
      </c>
      <c r="B88" s="7"/>
      <c r="C88" s="7"/>
      <c r="D88" s="7"/>
      <c r="E88" s="7"/>
      <c r="F88" s="7"/>
      <c r="G88" s="7"/>
      <c r="H88" s="7"/>
    </row>
    <row r="89" spans="1:8">
      <c r="A89" s="5">
        <v>88</v>
      </c>
      <c r="B89" s="7"/>
      <c r="C89" s="7"/>
      <c r="D89" s="7"/>
      <c r="E89" s="7"/>
      <c r="F89" s="7"/>
      <c r="G89" s="7"/>
      <c r="H89" s="7"/>
    </row>
    <row r="90" spans="1:8">
      <c r="A90" s="5">
        <v>89</v>
      </c>
      <c r="B90" s="7"/>
      <c r="C90" s="7"/>
      <c r="D90" s="7"/>
      <c r="E90" s="7"/>
      <c r="F90" s="7"/>
      <c r="G90" s="7"/>
      <c r="H90" s="7"/>
    </row>
    <row r="91" spans="1:8">
      <c r="A91" s="5">
        <v>90</v>
      </c>
      <c r="B91" s="7"/>
      <c r="C91" s="7"/>
      <c r="D91" s="7"/>
      <c r="E91" s="7"/>
      <c r="F91" s="7"/>
      <c r="G91" s="7"/>
      <c r="H91" s="7"/>
    </row>
    <row r="92" spans="1:8">
      <c r="A92" s="5">
        <v>91</v>
      </c>
      <c r="B92" s="7"/>
      <c r="C92" s="7"/>
      <c r="D92" s="7"/>
      <c r="E92" s="7"/>
      <c r="F92" s="7"/>
      <c r="G92" s="7"/>
      <c r="H92" s="7"/>
    </row>
    <row r="93" spans="1:8">
      <c r="A93" s="5">
        <v>92</v>
      </c>
      <c r="B93" s="7"/>
      <c r="C93" s="7"/>
      <c r="D93" s="7"/>
      <c r="E93" s="7"/>
      <c r="F93" s="7"/>
      <c r="G93" s="7"/>
      <c r="H93" s="7"/>
    </row>
    <row r="94" spans="1:8">
      <c r="A94" s="5">
        <v>93</v>
      </c>
      <c r="B94" s="7"/>
      <c r="C94" s="7"/>
      <c r="D94" s="7"/>
      <c r="E94" s="7"/>
      <c r="F94" s="7"/>
      <c r="G94" s="7"/>
      <c r="H94" s="7"/>
    </row>
    <row r="95" spans="1:8">
      <c r="A95" s="5">
        <v>94</v>
      </c>
      <c r="B95" s="7"/>
      <c r="C95" s="7"/>
      <c r="D95" s="7"/>
      <c r="E95" s="7"/>
      <c r="F95" s="7"/>
      <c r="G95" s="7"/>
      <c r="H95" s="7"/>
    </row>
    <row r="96" spans="1:8">
      <c r="A96" s="5">
        <v>95</v>
      </c>
      <c r="B96" s="7"/>
      <c r="C96" s="7"/>
      <c r="D96" s="7"/>
      <c r="E96" s="7"/>
      <c r="F96" s="7"/>
      <c r="G96" s="7"/>
      <c r="H96" s="7"/>
    </row>
    <row r="97" spans="1:8">
      <c r="A97" s="5">
        <v>96</v>
      </c>
      <c r="B97" s="7"/>
      <c r="C97" s="7"/>
      <c r="D97" s="7"/>
      <c r="E97" s="7"/>
      <c r="F97" s="7"/>
      <c r="G97" s="7"/>
      <c r="H97" s="7"/>
    </row>
    <row r="98" spans="1:8">
      <c r="A98" s="5">
        <v>97</v>
      </c>
      <c r="B98" s="7"/>
      <c r="C98" s="7"/>
      <c r="D98" s="7"/>
      <c r="E98" s="7"/>
      <c r="F98" s="7"/>
      <c r="G98" s="7"/>
      <c r="H98" s="7"/>
    </row>
    <row r="99" spans="1:8">
      <c r="A99" s="5">
        <v>98</v>
      </c>
      <c r="B99" s="7"/>
      <c r="C99" s="7"/>
      <c r="D99" s="7"/>
      <c r="E99" s="7"/>
      <c r="F99" s="7"/>
      <c r="G99" s="7"/>
      <c r="H99" s="7"/>
    </row>
    <row r="100" spans="1:8">
      <c r="A100" s="5">
        <v>99</v>
      </c>
      <c r="B100" s="7"/>
      <c r="C100" s="7"/>
      <c r="D100" s="7"/>
      <c r="E100" s="7"/>
      <c r="F100" s="7"/>
      <c r="G100" s="7"/>
      <c r="H100" s="7"/>
    </row>
    <row r="101" spans="1:8">
      <c r="A101" s="5">
        <v>100</v>
      </c>
      <c r="B101" s="7"/>
      <c r="C101" s="7"/>
      <c r="D101" s="7"/>
      <c r="E101" s="7"/>
      <c r="F101" s="7"/>
      <c r="G101" s="7"/>
      <c r="H101" s="7"/>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6"/>
  <sheetViews>
    <sheetView showGridLines="0" workbookViewId="0">
      <selection activeCell="E18" sqref="E18"/>
    </sheetView>
  </sheetViews>
  <sheetFormatPr defaultRowHeight="14.45"/>
  <cols>
    <col min="1" max="1" width="6" customWidth="1"/>
    <col min="2" max="3" width="10" customWidth="1"/>
    <col min="4" max="4" width="35" customWidth="1"/>
    <col min="5" max="5" width="25" customWidth="1"/>
    <col min="6" max="7" width="18" customWidth="1"/>
  </cols>
  <sheetData>
    <row r="1" spans="1:7">
      <c r="A1" s="3" t="s">
        <v>336</v>
      </c>
      <c r="B1" s="3" t="s">
        <v>264</v>
      </c>
      <c r="C1" s="3" t="s">
        <v>337</v>
      </c>
      <c r="D1" s="3" t="s">
        <v>338</v>
      </c>
      <c r="E1" s="3" t="s">
        <v>339</v>
      </c>
      <c r="F1" s="3" t="s">
        <v>340</v>
      </c>
      <c r="G1" s="3" t="s">
        <v>341</v>
      </c>
    </row>
    <row r="2" spans="1:7">
      <c r="A2" s="5">
        <v>1</v>
      </c>
      <c r="B2" s="5" t="str">
        <f>IF(C3="","",INDEX('06_Risicoregister'!$A$2:$A$200,MATCH(C2,'06_Risicoregister'!$K$2:$K$200,0)))</f>
        <v>R1</v>
      </c>
      <c r="C2" s="5">
        <f>IFERROR(LARGE('06_Risicoregister'!$K$2:$K$200,1),"")</f>
        <v>9</v>
      </c>
      <c r="D2" s="13" t="str">
        <f>IF(B2="","",INDEX('06_Risicoregister'!$C$2:$C$200,MATCH(B2,'06_Risicoregister'!$A$2:$A$200,0))&amp;" – "&amp;INDEX('06_Risicoregister'!$D$2:$D$200,MATCH(B2,'06_Risicoregister'!$A$2:$A$200,0)))</f>
        <v>EZPD, Vanguard Connect en gebruikersaccounts – Phishing / credential theft leidt tot ongeautoriseerde toegang</v>
      </c>
      <c r="E2" s="7"/>
      <c r="F2" s="7"/>
      <c r="G2" s="7"/>
    </row>
    <row r="3" spans="1:7">
      <c r="A3" s="5">
        <v>2</v>
      </c>
      <c r="B3" s="5" t="str">
        <f>IF(C3="","",INDEX('06_Risicoregister'!$A$2:$A$200,MATCH(C3,'06_Risicoregister'!$K$2:$K$200,0)))</f>
        <v>R1</v>
      </c>
      <c r="C3" s="5">
        <f>IFERROR(LARGE('06_Risicoregister'!$K$2:$K$200,2),"")</f>
        <v>9</v>
      </c>
      <c r="D3" s="13" t="str">
        <f>IF(B3="","",INDEX('06_Risicoregister'!$C$2:$C$200,MATCH(B3,'06_Risicoregister'!$A$2:$A$200,0))&amp;" – "&amp;INDEX('06_Risicoregister'!$D$2:$D$200,MATCH(B3,'06_Risicoregister'!$A$2:$A$200,0)))</f>
        <v>EZPD, Vanguard Connect en gebruikersaccounts – Phishing / credential theft leidt tot ongeautoriseerde toegang</v>
      </c>
      <c r="E3" s="7"/>
      <c r="F3" s="7"/>
      <c r="G3" s="7"/>
    </row>
    <row r="4" spans="1:7">
      <c r="A4" s="5">
        <v>3</v>
      </c>
      <c r="B4" s="5" t="str">
        <f>IF(C3="","",INDEX('06_Risicoregister'!$A$2:$A$200,MATCH(C4,'06_Risicoregister'!$K$2:$K$200,0)))</f>
        <v>R2</v>
      </c>
      <c r="C4" s="5">
        <f>IFERROR(LARGE('06_Risicoregister'!$K$2:$K$200,3),"")</f>
        <v>6</v>
      </c>
      <c r="D4" s="13" t="str">
        <f>IF(B4="","",INDEX('06_Risicoregister'!$C$2:$C$200,MATCH(B4,'06_Risicoregister'!$A$2:$A$200,0))&amp;" – "&amp;INDEX('06_Risicoregister'!$D$2:$D$200,MATCH(B4,'06_Risicoregister'!$A$2:$A$200,0)))</f>
        <v>Cloud hosting, Identity Management – Account takeover / brute-force / password spraying</v>
      </c>
      <c r="E4" s="7"/>
      <c r="F4" s="7"/>
      <c r="G4" s="7"/>
    </row>
    <row r="5" spans="1:7">
      <c r="A5" s="5">
        <v>4</v>
      </c>
      <c r="B5" s="5" t="str">
        <f>IF(C3="","",INDEX('06_Risicoregister'!$A$2:$A$200,MATCH(C5,'06_Risicoregister'!$K$2:$K$200,0)))</f>
        <v>R2</v>
      </c>
      <c r="C5" s="5">
        <f>IFERROR(LARGE('06_Risicoregister'!$K$2:$K$200,4),"")</f>
        <v>6</v>
      </c>
      <c r="D5" s="13" t="str">
        <f>IF(B5="","",INDEX('06_Risicoregister'!$C$2:$C$200,MATCH(B5,'06_Risicoregister'!$A$2:$A$200,0))&amp;" – "&amp;INDEX('06_Risicoregister'!$D$2:$D$200,MATCH(B5,'06_Risicoregister'!$A$2:$A$200,0)))</f>
        <v>Cloud hosting, Identity Management – Account takeover / brute-force / password spraying</v>
      </c>
      <c r="E5" s="7"/>
      <c r="F5" s="7"/>
      <c r="G5" s="7"/>
    </row>
    <row r="6" spans="1:7">
      <c r="A6" s="5">
        <v>5</v>
      </c>
      <c r="B6" s="5" t="str">
        <f>IF(C3="","",INDEX('06_Risicoregister'!$A$2:$A$200,MATCH(C6,'06_Risicoregister'!$K$2:$K$200,0)))</f>
        <v>R2</v>
      </c>
      <c r="C6" s="5">
        <f>IFERROR(LARGE('06_Risicoregister'!$K$2:$K$200,5),"")</f>
        <v>6</v>
      </c>
      <c r="D6" s="13" t="str">
        <f>IF(B6="","",INDEX('06_Risicoregister'!$C$2:$C$200,MATCH(B6,'06_Risicoregister'!$A$2:$A$200,0))&amp;" – "&amp;INDEX('06_Risicoregister'!$D$2:$D$200,MATCH(B6,'06_Risicoregister'!$A$2:$A$200,0)))</f>
        <v>Cloud hosting, Identity Management – Account takeover / brute-force / password spraying</v>
      </c>
      <c r="E6" s="7"/>
      <c r="F6" s="7"/>
      <c r="G6" s="7"/>
    </row>
  </sheetData>
  <conditionalFormatting sqref="C2:C6">
    <cfRule type="cellIs" dxfId="0" priority="1" operator="greaterThanOrEqual">
      <formula>7</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501"/>
  <sheetViews>
    <sheetView showGridLines="0" workbookViewId="0"/>
  </sheetViews>
  <sheetFormatPr defaultRowHeight="14.45"/>
  <cols>
    <col min="1" max="1" width="10" customWidth="1"/>
    <col min="2" max="2" width="14" customWidth="1"/>
    <col min="3" max="3" width="40" customWidth="1"/>
    <col min="4" max="4" width="18" customWidth="1"/>
    <col min="5" max="5" width="20" customWidth="1"/>
    <col min="6" max="6" width="25" customWidth="1"/>
  </cols>
  <sheetData>
    <row r="1" spans="1:6" ht="28.9">
      <c r="A1" s="3" t="s">
        <v>264</v>
      </c>
      <c r="B1" s="3" t="s">
        <v>342</v>
      </c>
      <c r="C1" s="3" t="s">
        <v>343</v>
      </c>
      <c r="D1" s="3" t="s">
        <v>344</v>
      </c>
      <c r="E1" s="3" t="s">
        <v>345</v>
      </c>
      <c r="F1" s="3" t="s">
        <v>346</v>
      </c>
    </row>
    <row r="2" spans="1:6">
      <c r="A2" s="7"/>
      <c r="B2" s="8"/>
      <c r="C2" s="7"/>
      <c r="D2" s="7"/>
      <c r="E2" s="7"/>
      <c r="F2" s="7"/>
    </row>
    <row r="3" spans="1:6">
      <c r="A3" s="7"/>
      <c r="B3" s="8"/>
      <c r="C3" s="7"/>
      <c r="D3" s="7"/>
      <c r="E3" s="7"/>
      <c r="F3" s="7"/>
    </row>
    <row r="4" spans="1:6">
      <c r="A4" s="7"/>
      <c r="B4" s="8"/>
      <c r="C4" s="7"/>
      <c r="D4" s="7"/>
      <c r="E4" s="7"/>
      <c r="F4" s="7"/>
    </row>
    <row r="5" spans="1:6">
      <c r="A5" s="7"/>
      <c r="B5" s="8"/>
      <c r="C5" s="7"/>
      <c r="D5" s="7"/>
      <c r="E5" s="7"/>
      <c r="F5" s="7"/>
    </row>
    <row r="6" spans="1:6">
      <c r="A6" s="7"/>
      <c r="B6" s="8"/>
      <c r="C6" s="7"/>
      <c r="D6" s="7"/>
      <c r="E6" s="7"/>
      <c r="F6" s="7"/>
    </row>
    <row r="7" spans="1:6">
      <c r="A7" s="7"/>
      <c r="B7" s="8"/>
      <c r="C7" s="7"/>
      <c r="D7" s="7"/>
      <c r="E7" s="7"/>
      <c r="F7" s="7"/>
    </row>
    <row r="8" spans="1:6">
      <c r="A8" s="7"/>
      <c r="B8" s="8"/>
      <c r="C8" s="7"/>
      <c r="D8" s="7"/>
      <c r="E8" s="7"/>
      <c r="F8" s="7"/>
    </row>
    <row r="9" spans="1:6">
      <c r="A9" s="7"/>
      <c r="B9" s="8"/>
      <c r="C9" s="7"/>
      <c r="D9" s="7"/>
      <c r="E9" s="7"/>
      <c r="F9" s="7"/>
    </row>
    <row r="10" spans="1:6">
      <c r="A10" s="7"/>
      <c r="B10" s="8"/>
      <c r="C10" s="7"/>
      <c r="D10" s="7"/>
      <c r="E10" s="7"/>
      <c r="F10" s="7"/>
    </row>
    <row r="11" spans="1:6">
      <c r="A11" s="7"/>
      <c r="B11" s="8"/>
      <c r="C11" s="7"/>
      <c r="D11" s="7"/>
      <c r="E11" s="7"/>
      <c r="F11" s="7"/>
    </row>
    <row r="12" spans="1:6">
      <c r="A12" s="7"/>
      <c r="B12" s="8"/>
      <c r="C12" s="7"/>
      <c r="D12" s="7"/>
      <c r="E12" s="7"/>
      <c r="F12" s="7"/>
    </row>
    <row r="13" spans="1:6">
      <c r="A13" s="7"/>
      <c r="B13" s="8"/>
      <c r="C13" s="7"/>
      <c r="D13" s="7"/>
      <c r="E13" s="7"/>
      <c r="F13" s="7"/>
    </row>
    <row r="14" spans="1:6">
      <c r="A14" s="7"/>
      <c r="B14" s="8"/>
      <c r="C14" s="7"/>
      <c r="D14" s="7"/>
      <c r="E14" s="7"/>
      <c r="F14" s="7"/>
    </row>
    <row r="15" spans="1:6">
      <c r="A15" s="7"/>
      <c r="B15" s="8"/>
      <c r="C15" s="7"/>
      <c r="D15" s="7"/>
      <c r="E15" s="7"/>
      <c r="F15" s="7"/>
    </row>
    <row r="16" spans="1:6">
      <c r="A16" s="7"/>
      <c r="B16" s="8"/>
      <c r="C16" s="7"/>
      <c r="D16" s="7"/>
      <c r="E16" s="7"/>
      <c r="F16" s="7"/>
    </row>
    <row r="17" spans="1:6">
      <c r="A17" s="7"/>
      <c r="B17" s="8"/>
      <c r="C17" s="7"/>
      <c r="D17" s="7"/>
      <c r="E17" s="7"/>
      <c r="F17" s="7"/>
    </row>
    <row r="18" spans="1:6">
      <c r="A18" s="7"/>
      <c r="B18" s="8"/>
      <c r="C18" s="7"/>
      <c r="D18" s="7"/>
      <c r="E18" s="7"/>
      <c r="F18" s="7"/>
    </row>
    <row r="19" spans="1:6">
      <c r="A19" s="7"/>
      <c r="B19" s="8"/>
      <c r="C19" s="7"/>
      <c r="D19" s="7"/>
      <c r="E19" s="7"/>
      <c r="F19" s="7"/>
    </row>
    <row r="20" spans="1:6">
      <c r="A20" s="7"/>
      <c r="B20" s="8"/>
      <c r="C20" s="7"/>
      <c r="D20" s="7"/>
      <c r="E20" s="7"/>
      <c r="F20" s="7"/>
    </row>
    <row r="21" spans="1:6">
      <c r="A21" s="7"/>
      <c r="B21" s="8"/>
      <c r="C21" s="7"/>
      <c r="D21" s="7"/>
      <c r="E21" s="7"/>
      <c r="F21" s="7"/>
    </row>
    <row r="22" spans="1:6">
      <c r="A22" s="7"/>
      <c r="B22" s="8"/>
      <c r="C22" s="7"/>
      <c r="D22" s="7"/>
      <c r="E22" s="7"/>
      <c r="F22" s="7"/>
    </row>
    <row r="23" spans="1:6">
      <c r="A23" s="7"/>
      <c r="B23" s="8"/>
      <c r="C23" s="7"/>
      <c r="D23" s="7"/>
      <c r="E23" s="7"/>
      <c r="F23" s="7"/>
    </row>
    <row r="24" spans="1:6">
      <c r="A24" s="7"/>
      <c r="B24" s="8"/>
      <c r="C24" s="7"/>
      <c r="D24" s="7"/>
      <c r="E24" s="7"/>
      <c r="F24" s="7"/>
    </row>
    <row r="25" spans="1:6">
      <c r="A25" s="7"/>
      <c r="B25" s="8"/>
      <c r="C25" s="7"/>
      <c r="D25" s="7"/>
      <c r="E25" s="7"/>
      <c r="F25" s="7"/>
    </row>
    <row r="26" spans="1:6">
      <c r="A26" s="7"/>
      <c r="B26" s="8"/>
      <c r="C26" s="7"/>
      <c r="D26" s="7"/>
      <c r="E26" s="7"/>
      <c r="F26" s="7"/>
    </row>
    <row r="27" spans="1:6">
      <c r="A27" s="7"/>
      <c r="B27" s="8"/>
      <c r="C27" s="7"/>
      <c r="D27" s="7"/>
      <c r="E27" s="7"/>
      <c r="F27" s="7"/>
    </row>
    <row r="28" spans="1:6">
      <c r="A28" s="7"/>
      <c r="B28" s="8"/>
      <c r="C28" s="7"/>
      <c r="D28" s="7"/>
      <c r="E28" s="7"/>
      <c r="F28" s="7"/>
    </row>
    <row r="29" spans="1:6">
      <c r="A29" s="7"/>
      <c r="B29" s="8"/>
      <c r="C29" s="7"/>
      <c r="D29" s="7"/>
      <c r="E29" s="7"/>
      <c r="F29" s="7"/>
    </row>
    <row r="30" spans="1:6">
      <c r="A30" s="7"/>
      <c r="B30" s="8"/>
      <c r="C30" s="7"/>
      <c r="D30" s="7"/>
      <c r="E30" s="7"/>
      <c r="F30" s="7"/>
    </row>
    <row r="31" spans="1:6">
      <c r="A31" s="7"/>
      <c r="B31" s="8"/>
      <c r="C31" s="7"/>
      <c r="D31" s="7"/>
      <c r="E31" s="7"/>
      <c r="F31" s="7"/>
    </row>
    <row r="32" spans="1:6">
      <c r="A32" s="7"/>
      <c r="B32" s="8"/>
      <c r="C32" s="7"/>
      <c r="D32" s="7"/>
      <c r="E32" s="7"/>
      <c r="F32" s="7"/>
    </row>
    <row r="33" spans="1:6">
      <c r="A33" s="7"/>
      <c r="B33" s="8"/>
      <c r="C33" s="7"/>
      <c r="D33" s="7"/>
      <c r="E33" s="7"/>
      <c r="F33" s="7"/>
    </row>
    <row r="34" spans="1:6">
      <c r="A34" s="7"/>
      <c r="B34" s="8"/>
      <c r="C34" s="7"/>
      <c r="D34" s="7"/>
      <c r="E34" s="7"/>
      <c r="F34" s="7"/>
    </row>
    <row r="35" spans="1:6">
      <c r="A35" s="7"/>
      <c r="B35" s="8"/>
      <c r="C35" s="7"/>
      <c r="D35" s="7"/>
      <c r="E35" s="7"/>
      <c r="F35" s="7"/>
    </row>
    <row r="36" spans="1:6">
      <c r="A36" s="7"/>
      <c r="B36" s="8"/>
      <c r="C36" s="7"/>
      <c r="D36" s="7"/>
      <c r="E36" s="7"/>
      <c r="F36" s="7"/>
    </row>
    <row r="37" spans="1:6">
      <c r="A37" s="7"/>
      <c r="B37" s="8"/>
      <c r="C37" s="7"/>
      <c r="D37" s="7"/>
      <c r="E37" s="7"/>
      <c r="F37" s="7"/>
    </row>
    <row r="38" spans="1:6">
      <c r="A38" s="7"/>
      <c r="B38" s="8"/>
      <c r="C38" s="7"/>
      <c r="D38" s="7"/>
      <c r="E38" s="7"/>
      <c r="F38" s="7"/>
    </row>
    <row r="39" spans="1:6">
      <c r="A39" s="7"/>
      <c r="B39" s="8"/>
      <c r="C39" s="7"/>
      <c r="D39" s="7"/>
      <c r="E39" s="7"/>
      <c r="F39" s="7"/>
    </row>
    <row r="40" spans="1:6">
      <c r="A40" s="7"/>
      <c r="B40" s="8"/>
      <c r="C40" s="7"/>
      <c r="D40" s="7"/>
      <c r="E40" s="7"/>
      <c r="F40" s="7"/>
    </row>
    <row r="41" spans="1:6">
      <c r="A41" s="7"/>
      <c r="B41" s="8"/>
      <c r="C41" s="7"/>
      <c r="D41" s="7"/>
      <c r="E41" s="7"/>
      <c r="F41" s="7"/>
    </row>
    <row r="42" spans="1:6">
      <c r="A42" s="7"/>
      <c r="B42" s="8"/>
      <c r="C42" s="7"/>
      <c r="D42" s="7"/>
      <c r="E42" s="7"/>
      <c r="F42" s="7"/>
    </row>
    <row r="43" spans="1:6">
      <c r="A43" s="7"/>
      <c r="B43" s="8"/>
      <c r="C43" s="7"/>
      <c r="D43" s="7"/>
      <c r="E43" s="7"/>
      <c r="F43" s="7"/>
    </row>
    <row r="44" spans="1:6">
      <c r="A44" s="7"/>
      <c r="B44" s="8"/>
      <c r="C44" s="7"/>
      <c r="D44" s="7"/>
      <c r="E44" s="7"/>
      <c r="F44" s="7"/>
    </row>
    <row r="45" spans="1:6">
      <c r="A45" s="7"/>
      <c r="B45" s="8"/>
      <c r="C45" s="7"/>
      <c r="D45" s="7"/>
      <c r="E45" s="7"/>
      <c r="F45" s="7"/>
    </row>
    <row r="46" spans="1:6">
      <c r="A46" s="7"/>
      <c r="B46" s="8"/>
      <c r="C46" s="7"/>
      <c r="D46" s="7"/>
      <c r="E46" s="7"/>
      <c r="F46" s="7"/>
    </row>
    <row r="47" spans="1:6">
      <c r="A47" s="7"/>
      <c r="B47" s="8"/>
      <c r="C47" s="7"/>
      <c r="D47" s="7"/>
      <c r="E47" s="7"/>
      <c r="F47" s="7"/>
    </row>
    <row r="48" spans="1:6">
      <c r="A48" s="7"/>
      <c r="B48" s="8"/>
      <c r="C48" s="7"/>
      <c r="D48" s="7"/>
      <c r="E48" s="7"/>
      <c r="F48" s="7"/>
    </row>
    <row r="49" spans="1:6">
      <c r="A49" s="7"/>
      <c r="B49" s="8"/>
      <c r="C49" s="7"/>
      <c r="D49" s="7"/>
      <c r="E49" s="7"/>
      <c r="F49" s="7"/>
    </row>
    <row r="50" spans="1:6">
      <c r="A50" s="7"/>
      <c r="B50" s="8"/>
      <c r="C50" s="7"/>
      <c r="D50" s="7"/>
      <c r="E50" s="7"/>
      <c r="F50" s="7"/>
    </row>
    <row r="51" spans="1:6">
      <c r="A51" s="7"/>
      <c r="B51" s="8"/>
      <c r="C51" s="7"/>
      <c r="D51" s="7"/>
      <c r="E51" s="7"/>
      <c r="F51" s="7"/>
    </row>
    <row r="52" spans="1:6">
      <c r="A52" s="7"/>
      <c r="B52" s="8"/>
      <c r="C52" s="7"/>
      <c r="D52" s="7"/>
      <c r="E52" s="7"/>
      <c r="F52" s="7"/>
    </row>
    <row r="53" spans="1:6">
      <c r="A53" s="7"/>
      <c r="B53" s="8"/>
      <c r="C53" s="7"/>
      <c r="D53" s="7"/>
      <c r="E53" s="7"/>
      <c r="F53" s="7"/>
    </row>
    <row r="54" spans="1:6">
      <c r="A54" s="7"/>
      <c r="B54" s="8"/>
      <c r="C54" s="7"/>
      <c r="D54" s="7"/>
      <c r="E54" s="7"/>
      <c r="F54" s="7"/>
    </row>
    <row r="55" spans="1:6">
      <c r="A55" s="7"/>
      <c r="B55" s="8"/>
      <c r="C55" s="7"/>
      <c r="D55" s="7"/>
      <c r="E55" s="7"/>
      <c r="F55" s="7"/>
    </row>
    <row r="56" spans="1:6">
      <c r="A56" s="7"/>
      <c r="B56" s="8"/>
      <c r="C56" s="7"/>
      <c r="D56" s="7"/>
      <c r="E56" s="7"/>
      <c r="F56" s="7"/>
    </row>
    <row r="57" spans="1:6">
      <c r="A57" s="7"/>
      <c r="B57" s="8"/>
      <c r="C57" s="7"/>
      <c r="D57" s="7"/>
      <c r="E57" s="7"/>
      <c r="F57" s="7"/>
    </row>
    <row r="58" spans="1:6">
      <c r="A58" s="7"/>
      <c r="B58" s="8"/>
      <c r="C58" s="7"/>
      <c r="D58" s="7"/>
      <c r="E58" s="7"/>
      <c r="F58" s="7"/>
    </row>
    <row r="59" spans="1:6">
      <c r="A59" s="7"/>
      <c r="B59" s="8"/>
      <c r="C59" s="7"/>
      <c r="D59" s="7"/>
      <c r="E59" s="7"/>
      <c r="F59" s="7"/>
    </row>
    <row r="60" spans="1:6">
      <c r="A60" s="7"/>
      <c r="B60" s="8"/>
      <c r="C60" s="7"/>
      <c r="D60" s="7"/>
      <c r="E60" s="7"/>
      <c r="F60" s="7"/>
    </row>
    <row r="61" spans="1:6">
      <c r="A61" s="7"/>
      <c r="B61" s="8"/>
      <c r="C61" s="7"/>
      <c r="D61" s="7"/>
      <c r="E61" s="7"/>
      <c r="F61" s="7"/>
    </row>
    <row r="62" spans="1:6">
      <c r="A62" s="7"/>
      <c r="B62" s="8"/>
      <c r="C62" s="7"/>
      <c r="D62" s="7"/>
      <c r="E62" s="7"/>
      <c r="F62" s="7"/>
    </row>
    <row r="63" spans="1:6">
      <c r="A63" s="7"/>
      <c r="B63" s="8"/>
      <c r="C63" s="7"/>
      <c r="D63" s="7"/>
      <c r="E63" s="7"/>
      <c r="F63" s="7"/>
    </row>
    <row r="64" spans="1:6">
      <c r="A64" s="7"/>
      <c r="B64" s="8"/>
      <c r="C64" s="7"/>
      <c r="D64" s="7"/>
      <c r="E64" s="7"/>
      <c r="F64" s="7"/>
    </row>
    <row r="65" spans="1:6">
      <c r="A65" s="7"/>
      <c r="B65" s="8"/>
      <c r="C65" s="7"/>
      <c r="D65" s="7"/>
      <c r="E65" s="7"/>
      <c r="F65" s="7"/>
    </row>
    <row r="66" spans="1:6">
      <c r="A66" s="7"/>
      <c r="B66" s="8"/>
      <c r="C66" s="7"/>
      <c r="D66" s="7"/>
      <c r="E66" s="7"/>
      <c r="F66" s="7"/>
    </row>
    <row r="67" spans="1:6">
      <c r="A67" s="7"/>
      <c r="B67" s="8"/>
      <c r="C67" s="7"/>
      <c r="D67" s="7"/>
      <c r="E67" s="7"/>
      <c r="F67" s="7"/>
    </row>
    <row r="68" spans="1:6">
      <c r="A68" s="7"/>
      <c r="B68" s="8"/>
      <c r="C68" s="7"/>
      <c r="D68" s="7"/>
      <c r="E68" s="7"/>
      <c r="F68" s="7"/>
    </row>
    <row r="69" spans="1:6">
      <c r="A69" s="7"/>
      <c r="B69" s="8"/>
      <c r="C69" s="7"/>
      <c r="D69" s="7"/>
      <c r="E69" s="7"/>
      <c r="F69" s="7"/>
    </row>
    <row r="70" spans="1:6">
      <c r="A70" s="7"/>
      <c r="B70" s="8"/>
      <c r="C70" s="7"/>
      <c r="D70" s="7"/>
      <c r="E70" s="7"/>
      <c r="F70" s="7"/>
    </row>
    <row r="71" spans="1:6">
      <c r="A71" s="7"/>
      <c r="B71" s="8"/>
      <c r="C71" s="7"/>
      <c r="D71" s="7"/>
      <c r="E71" s="7"/>
      <c r="F71" s="7"/>
    </row>
    <row r="72" spans="1:6">
      <c r="A72" s="7"/>
      <c r="B72" s="8"/>
      <c r="C72" s="7"/>
      <c r="D72" s="7"/>
      <c r="E72" s="7"/>
      <c r="F72" s="7"/>
    </row>
    <row r="73" spans="1:6">
      <c r="A73" s="7"/>
      <c r="B73" s="8"/>
      <c r="C73" s="7"/>
      <c r="D73" s="7"/>
      <c r="E73" s="7"/>
      <c r="F73" s="7"/>
    </row>
    <row r="74" spans="1:6">
      <c r="A74" s="7"/>
      <c r="B74" s="8"/>
      <c r="C74" s="7"/>
      <c r="D74" s="7"/>
      <c r="E74" s="7"/>
      <c r="F74" s="7"/>
    </row>
    <row r="75" spans="1:6">
      <c r="A75" s="7"/>
      <c r="B75" s="8"/>
      <c r="C75" s="7"/>
      <c r="D75" s="7"/>
      <c r="E75" s="7"/>
      <c r="F75" s="7"/>
    </row>
    <row r="76" spans="1:6">
      <c r="A76" s="7"/>
      <c r="B76" s="8"/>
      <c r="C76" s="7"/>
      <c r="D76" s="7"/>
      <c r="E76" s="7"/>
      <c r="F76" s="7"/>
    </row>
    <row r="77" spans="1:6">
      <c r="A77" s="7"/>
      <c r="B77" s="8"/>
      <c r="C77" s="7"/>
      <c r="D77" s="7"/>
      <c r="E77" s="7"/>
      <c r="F77" s="7"/>
    </row>
    <row r="78" spans="1:6">
      <c r="A78" s="7"/>
      <c r="B78" s="8"/>
      <c r="C78" s="7"/>
      <c r="D78" s="7"/>
      <c r="E78" s="7"/>
      <c r="F78" s="7"/>
    </row>
    <row r="79" spans="1:6">
      <c r="A79" s="7"/>
      <c r="B79" s="8"/>
      <c r="C79" s="7"/>
      <c r="D79" s="7"/>
      <c r="E79" s="7"/>
      <c r="F79" s="7"/>
    </row>
    <row r="80" spans="1:6">
      <c r="A80" s="7"/>
      <c r="B80" s="8"/>
      <c r="C80" s="7"/>
      <c r="D80" s="7"/>
      <c r="E80" s="7"/>
      <c r="F80" s="7"/>
    </row>
    <row r="81" spans="1:6">
      <c r="A81" s="7"/>
      <c r="B81" s="8"/>
      <c r="C81" s="7"/>
      <c r="D81" s="7"/>
      <c r="E81" s="7"/>
      <c r="F81" s="7"/>
    </row>
    <row r="82" spans="1:6">
      <c r="A82" s="7"/>
      <c r="B82" s="8"/>
      <c r="C82" s="7"/>
      <c r="D82" s="7"/>
      <c r="E82" s="7"/>
      <c r="F82" s="7"/>
    </row>
    <row r="83" spans="1:6">
      <c r="A83" s="7"/>
      <c r="B83" s="8"/>
      <c r="C83" s="7"/>
      <c r="D83" s="7"/>
      <c r="E83" s="7"/>
      <c r="F83" s="7"/>
    </row>
    <row r="84" spans="1:6">
      <c r="A84" s="7"/>
      <c r="B84" s="8"/>
      <c r="C84" s="7"/>
      <c r="D84" s="7"/>
      <c r="E84" s="7"/>
      <c r="F84" s="7"/>
    </row>
    <row r="85" spans="1:6">
      <c r="A85" s="7"/>
      <c r="B85" s="8"/>
      <c r="C85" s="7"/>
      <c r="D85" s="7"/>
      <c r="E85" s="7"/>
      <c r="F85" s="7"/>
    </row>
    <row r="86" spans="1:6">
      <c r="A86" s="7"/>
      <c r="B86" s="8"/>
      <c r="C86" s="7"/>
      <c r="D86" s="7"/>
      <c r="E86" s="7"/>
      <c r="F86" s="7"/>
    </row>
    <row r="87" spans="1:6">
      <c r="A87" s="7"/>
      <c r="B87" s="8"/>
      <c r="C87" s="7"/>
      <c r="D87" s="7"/>
      <c r="E87" s="7"/>
      <c r="F87" s="7"/>
    </row>
    <row r="88" spans="1:6">
      <c r="A88" s="7"/>
      <c r="B88" s="8"/>
      <c r="C88" s="7"/>
      <c r="D88" s="7"/>
      <c r="E88" s="7"/>
      <c r="F88" s="7"/>
    </row>
    <row r="89" spans="1:6">
      <c r="A89" s="7"/>
      <c r="B89" s="8"/>
      <c r="C89" s="7"/>
      <c r="D89" s="7"/>
      <c r="E89" s="7"/>
      <c r="F89" s="7"/>
    </row>
    <row r="90" spans="1:6">
      <c r="A90" s="7"/>
      <c r="B90" s="8"/>
      <c r="C90" s="7"/>
      <c r="D90" s="7"/>
      <c r="E90" s="7"/>
      <c r="F90" s="7"/>
    </row>
    <row r="91" spans="1:6">
      <c r="A91" s="7"/>
      <c r="B91" s="8"/>
      <c r="C91" s="7"/>
      <c r="D91" s="7"/>
      <c r="E91" s="7"/>
      <c r="F91" s="7"/>
    </row>
    <row r="92" spans="1:6">
      <c r="A92" s="7"/>
      <c r="B92" s="8"/>
      <c r="C92" s="7"/>
      <c r="D92" s="7"/>
      <c r="E92" s="7"/>
      <c r="F92" s="7"/>
    </row>
    <row r="93" spans="1:6">
      <c r="A93" s="7"/>
      <c r="B93" s="8"/>
      <c r="C93" s="7"/>
      <c r="D93" s="7"/>
      <c r="E93" s="7"/>
      <c r="F93" s="7"/>
    </row>
    <row r="94" spans="1:6">
      <c r="A94" s="7"/>
      <c r="B94" s="8"/>
      <c r="C94" s="7"/>
      <c r="D94" s="7"/>
      <c r="E94" s="7"/>
      <c r="F94" s="7"/>
    </row>
    <row r="95" spans="1:6">
      <c r="A95" s="7"/>
      <c r="B95" s="8"/>
      <c r="C95" s="7"/>
      <c r="D95" s="7"/>
      <c r="E95" s="7"/>
      <c r="F95" s="7"/>
    </row>
    <row r="96" spans="1:6">
      <c r="A96" s="7"/>
      <c r="B96" s="8"/>
      <c r="C96" s="7"/>
      <c r="D96" s="7"/>
      <c r="E96" s="7"/>
      <c r="F96" s="7"/>
    </row>
    <row r="97" spans="1:6">
      <c r="A97" s="7"/>
      <c r="B97" s="8"/>
      <c r="C97" s="7"/>
      <c r="D97" s="7"/>
      <c r="E97" s="7"/>
      <c r="F97" s="7"/>
    </row>
    <row r="98" spans="1:6">
      <c r="A98" s="7"/>
      <c r="B98" s="8"/>
      <c r="C98" s="7"/>
      <c r="D98" s="7"/>
      <c r="E98" s="7"/>
      <c r="F98" s="7"/>
    </row>
    <row r="99" spans="1:6">
      <c r="A99" s="7"/>
      <c r="B99" s="8"/>
      <c r="C99" s="7"/>
      <c r="D99" s="7"/>
      <c r="E99" s="7"/>
      <c r="F99" s="7"/>
    </row>
    <row r="100" spans="1:6">
      <c r="A100" s="7"/>
      <c r="B100" s="8"/>
      <c r="C100" s="7"/>
      <c r="D100" s="7"/>
      <c r="E100" s="7"/>
      <c r="F100" s="7"/>
    </row>
    <row r="101" spans="1:6">
      <c r="A101" s="7"/>
      <c r="B101" s="8"/>
      <c r="C101" s="7"/>
      <c r="D101" s="7"/>
      <c r="E101" s="7"/>
      <c r="F101" s="7"/>
    </row>
    <row r="102" spans="1:6">
      <c r="A102" s="7"/>
      <c r="B102" s="8"/>
      <c r="C102" s="7"/>
      <c r="D102" s="7"/>
      <c r="E102" s="7"/>
      <c r="F102" s="7"/>
    </row>
    <row r="103" spans="1:6">
      <c r="A103" s="7"/>
      <c r="B103" s="8"/>
      <c r="C103" s="7"/>
      <c r="D103" s="7"/>
      <c r="E103" s="7"/>
      <c r="F103" s="7"/>
    </row>
    <row r="104" spans="1:6">
      <c r="A104" s="7"/>
      <c r="B104" s="8"/>
      <c r="C104" s="7"/>
      <c r="D104" s="7"/>
      <c r="E104" s="7"/>
      <c r="F104" s="7"/>
    </row>
    <row r="105" spans="1:6">
      <c r="A105" s="7"/>
      <c r="B105" s="8"/>
      <c r="C105" s="7"/>
      <c r="D105" s="7"/>
      <c r="E105" s="7"/>
      <c r="F105" s="7"/>
    </row>
    <row r="106" spans="1:6">
      <c r="A106" s="7"/>
      <c r="B106" s="8"/>
      <c r="C106" s="7"/>
      <c r="D106" s="7"/>
      <c r="E106" s="7"/>
      <c r="F106" s="7"/>
    </row>
    <row r="107" spans="1:6">
      <c r="A107" s="7"/>
      <c r="B107" s="8"/>
      <c r="C107" s="7"/>
      <c r="D107" s="7"/>
      <c r="E107" s="7"/>
      <c r="F107" s="7"/>
    </row>
    <row r="108" spans="1:6">
      <c r="A108" s="7"/>
      <c r="B108" s="8"/>
      <c r="C108" s="7"/>
      <c r="D108" s="7"/>
      <c r="E108" s="7"/>
      <c r="F108" s="7"/>
    </row>
    <row r="109" spans="1:6">
      <c r="A109" s="7"/>
      <c r="B109" s="8"/>
      <c r="C109" s="7"/>
      <c r="D109" s="7"/>
      <c r="E109" s="7"/>
      <c r="F109" s="7"/>
    </row>
    <row r="110" spans="1:6">
      <c r="A110" s="7"/>
      <c r="B110" s="8"/>
      <c r="C110" s="7"/>
      <c r="D110" s="7"/>
      <c r="E110" s="7"/>
      <c r="F110" s="7"/>
    </row>
    <row r="111" spans="1:6">
      <c r="A111" s="7"/>
      <c r="B111" s="8"/>
      <c r="C111" s="7"/>
      <c r="D111" s="7"/>
      <c r="E111" s="7"/>
      <c r="F111" s="7"/>
    </row>
    <row r="112" spans="1:6">
      <c r="A112" s="7"/>
      <c r="B112" s="8"/>
      <c r="C112" s="7"/>
      <c r="D112" s="7"/>
      <c r="E112" s="7"/>
      <c r="F112" s="7"/>
    </row>
    <row r="113" spans="1:6">
      <c r="A113" s="7"/>
      <c r="B113" s="8"/>
      <c r="C113" s="7"/>
      <c r="D113" s="7"/>
      <c r="E113" s="7"/>
      <c r="F113" s="7"/>
    </row>
    <row r="114" spans="1:6">
      <c r="A114" s="7"/>
      <c r="B114" s="8"/>
      <c r="C114" s="7"/>
      <c r="D114" s="7"/>
      <c r="E114" s="7"/>
      <c r="F114" s="7"/>
    </row>
    <row r="115" spans="1:6">
      <c r="A115" s="7"/>
      <c r="B115" s="8"/>
      <c r="C115" s="7"/>
      <c r="D115" s="7"/>
      <c r="E115" s="7"/>
      <c r="F115" s="7"/>
    </row>
    <row r="116" spans="1:6">
      <c r="A116" s="7"/>
      <c r="B116" s="8"/>
      <c r="C116" s="7"/>
      <c r="D116" s="7"/>
      <c r="E116" s="7"/>
      <c r="F116" s="7"/>
    </row>
    <row r="117" spans="1:6">
      <c r="A117" s="7"/>
      <c r="B117" s="8"/>
      <c r="C117" s="7"/>
      <c r="D117" s="7"/>
      <c r="E117" s="7"/>
      <c r="F117" s="7"/>
    </row>
    <row r="118" spans="1:6">
      <c r="A118" s="7"/>
      <c r="B118" s="8"/>
      <c r="C118" s="7"/>
      <c r="D118" s="7"/>
      <c r="E118" s="7"/>
      <c r="F118" s="7"/>
    </row>
    <row r="119" spans="1:6">
      <c r="A119" s="7"/>
      <c r="B119" s="8"/>
      <c r="C119" s="7"/>
      <c r="D119" s="7"/>
      <c r="E119" s="7"/>
      <c r="F119" s="7"/>
    </row>
    <row r="120" spans="1:6">
      <c r="A120" s="7"/>
      <c r="B120" s="8"/>
      <c r="C120" s="7"/>
      <c r="D120" s="7"/>
      <c r="E120" s="7"/>
      <c r="F120" s="7"/>
    </row>
    <row r="121" spans="1:6">
      <c r="A121" s="7"/>
      <c r="B121" s="8"/>
      <c r="C121" s="7"/>
      <c r="D121" s="7"/>
      <c r="E121" s="7"/>
      <c r="F121" s="7"/>
    </row>
    <row r="122" spans="1:6">
      <c r="A122" s="7"/>
      <c r="B122" s="8"/>
      <c r="C122" s="7"/>
      <c r="D122" s="7"/>
      <c r="E122" s="7"/>
      <c r="F122" s="7"/>
    </row>
    <row r="123" spans="1:6">
      <c r="A123" s="7"/>
      <c r="B123" s="8"/>
      <c r="C123" s="7"/>
      <c r="D123" s="7"/>
      <c r="E123" s="7"/>
      <c r="F123" s="7"/>
    </row>
    <row r="124" spans="1:6">
      <c r="A124" s="7"/>
      <c r="B124" s="8"/>
      <c r="C124" s="7"/>
      <c r="D124" s="7"/>
      <c r="E124" s="7"/>
      <c r="F124" s="7"/>
    </row>
    <row r="125" spans="1:6">
      <c r="A125" s="7"/>
      <c r="B125" s="8"/>
      <c r="C125" s="7"/>
      <c r="D125" s="7"/>
      <c r="E125" s="7"/>
      <c r="F125" s="7"/>
    </row>
    <row r="126" spans="1:6">
      <c r="A126" s="7"/>
      <c r="B126" s="8"/>
      <c r="C126" s="7"/>
      <c r="D126" s="7"/>
      <c r="E126" s="7"/>
      <c r="F126" s="7"/>
    </row>
    <row r="127" spans="1:6">
      <c r="A127" s="7"/>
      <c r="B127" s="8"/>
      <c r="C127" s="7"/>
      <c r="D127" s="7"/>
      <c r="E127" s="7"/>
      <c r="F127" s="7"/>
    </row>
    <row r="128" spans="1:6">
      <c r="A128" s="7"/>
      <c r="B128" s="8"/>
      <c r="C128" s="7"/>
      <c r="D128" s="7"/>
      <c r="E128" s="7"/>
      <c r="F128" s="7"/>
    </row>
    <row r="129" spans="1:6">
      <c r="A129" s="7"/>
      <c r="B129" s="8"/>
      <c r="C129" s="7"/>
      <c r="D129" s="7"/>
      <c r="E129" s="7"/>
      <c r="F129" s="7"/>
    </row>
    <row r="130" spans="1:6">
      <c r="A130" s="7"/>
      <c r="B130" s="8"/>
      <c r="C130" s="7"/>
      <c r="D130" s="7"/>
      <c r="E130" s="7"/>
      <c r="F130" s="7"/>
    </row>
    <row r="131" spans="1:6">
      <c r="A131" s="7"/>
      <c r="B131" s="8"/>
      <c r="C131" s="7"/>
      <c r="D131" s="7"/>
      <c r="E131" s="7"/>
      <c r="F131" s="7"/>
    </row>
    <row r="132" spans="1:6">
      <c r="A132" s="7"/>
      <c r="B132" s="8"/>
      <c r="C132" s="7"/>
      <c r="D132" s="7"/>
      <c r="E132" s="7"/>
      <c r="F132" s="7"/>
    </row>
    <row r="133" spans="1:6">
      <c r="A133" s="7"/>
      <c r="B133" s="8"/>
      <c r="C133" s="7"/>
      <c r="D133" s="7"/>
      <c r="E133" s="7"/>
      <c r="F133" s="7"/>
    </row>
    <row r="134" spans="1:6">
      <c r="A134" s="7"/>
      <c r="B134" s="8"/>
      <c r="C134" s="7"/>
      <c r="D134" s="7"/>
      <c r="E134" s="7"/>
      <c r="F134" s="7"/>
    </row>
    <row r="135" spans="1:6">
      <c r="A135" s="7"/>
      <c r="B135" s="8"/>
      <c r="C135" s="7"/>
      <c r="D135" s="7"/>
      <c r="E135" s="7"/>
      <c r="F135" s="7"/>
    </row>
    <row r="136" spans="1:6">
      <c r="A136" s="7"/>
      <c r="B136" s="8"/>
      <c r="C136" s="7"/>
      <c r="D136" s="7"/>
      <c r="E136" s="7"/>
      <c r="F136" s="7"/>
    </row>
    <row r="137" spans="1:6">
      <c r="A137" s="7"/>
      <c r="B137" s="8"/>
      <c r="C137" s="7"/>
      <c r="D137" s="7"/>
      <c r="E137" s="7"/>
      <c r="F137" s="7"/>
    </row>
    <row r="138" spans="1:6">
      <c r="A138" s="7"/>
      <c r="B138" s="8"/>
      <c r="C138" s="7"/>
      <c r="D138" s="7"/>
      <c r="E138" s="7"/>
      <c r="F138" s="7"/>
    </row>
    <row r="139" spans="1:6">
      <c r="A139" s="7"/>
      <c r="B139" s="8"/>
      <c r="C139" s="7"/>
      <c r="D139" s="7"/>
      <c r="E139" s="7"/>
      <c r="F139" s="7"/>
    </row>
    <row r="140" spans="1:6">
      <c r="A140" s="7"/>
      <c r="B140" s="8"/>
      <c r="C140" s="7"/>
      <c r="D140" s="7"/>
      <c r="E140" s="7"/>
      <c r="F140" s="7"/>
    </row>
    <row r="141" spans="1:6">
      <c r="A141" s="7"/>
      <c r="B141" s="8"/>
      <c r="C141" s="7"/>
      <c r="D141" s="7"/>
      <c r="E141" s="7"/>
      <c r="F141" s="7"/>
    </row>
    <row r="142" spans="1:6">
      <c r="A142" s="7"/>
      <c r="B142" s="8"/>
      <c r="C142" s="7"/>
      <c r="D142" s="7"/>
      <c r="E142" s="7"/>
      <c r="F142" s="7"/>
    </row>
    <row r="143" spans="1:6">
      <c r="A143" s="7"/>
      <c r="B143" s="8"/>
      <c r="C143" s="7"/>
      <c r="D143" s="7"/>
      <c r="E143" s="7"/>
      <c r="F143" s="7"/>
    </row>
    <row r="144" spans="1:6">
      <c r="A144" s="7"/>
      <c r="B144" s="8"/>
      <c r="C144" s="7"/>
      <c r="D144" s="7"/>
      <c r="E144" s="7"/>
      <c r="F144" s="7"/>
    </row>
    <row r="145" spans="1:6">
      <c r="A145" s="7"/>
      <c r="B145" s="8"/>
      <c r="C145" s="7"/>
      <c r="D145" s="7"/>
      <c r="E145" s="7"/>
      <c r="F145" s="7"/>
    </row>
    <row r="146" spans="1:6">
      <c r="A146" s="7"/>
      <c r="B146" s="8"/>
      <c r="C146" s="7"/>
      <c r="D146" s="7"/>
      <c r="E146" s="7"/>
      <c r="F146" s="7"/>
    </row>
    <row r="147" spans="1:6">
      <c r="A147" s="7"/>
      <c r="B147" s="8"/>
      <c r="C147" s="7"/>
      <c r="D147" s="7"/>
      <c r="E147" s="7"/>
      <c r="F147" s="7"/>
    </row>
    <row r="148" spans="1:6">
      <c r="A148" s="7"/>
      <c r="B148" s="8"/>
      <c r="C148" s="7"/>
      <c r="D148" s="7"/>
      <c r="E148" s="7"/>
      <c r="F148" s="7"/>
    </row>
    <row r="149" spans="1:6">
      <c r="A149" s="7"/>
      <c r="B149" s="8"/>
      <c r="C149" s="7"/>
      <c r="D149" s="7"/>
      <c r="E149" s="7"/>
      <c r="F149" s="7"/>
    </row>
    <row r="150" spans="1:6">
      <c r="A150" s="7"/>
      <c r="B150" s="8"/>
      <c r="C150" s="7"/>
      <c r="D150" s="7"/>
      <c r="E150" s="7"/>
      <c r="F150" s="7"/>
    </row>
    <row r="151" spans="1:6">
      <c r="A151" s="7"/>
      <c r="B151" s="8"/>
      <c r="C151" s="7"/>
      <c r="D151" s="7"/>
      <c r="E151" s="7"/>
      <c r="F151" s="7"/>
    </row>
    <row r="152" spans="1:6">
      <c r="A152" s="7"/>
      <c r="B152" s="8"/>
      <c r="C152" s="7"/>
      <c r="D152" s="7"/>
      <c r="E152" s="7"/>
      <c r="F152" s="7"/>
    </row>
    <row r="153" spans="1:6">
      <c r="A153" s="7"/>
      <c r="B153" s="8"/>
      <c r="C153" s="7"/>
      <c r="D153" s="7"/>
      <c r="E153" s="7"/>
      <c r="F153" s="7"/>
    </row>
    <row r="154" spans="1:6">
      <c r="A154" s="7"/>
      <c r="B154" s="8"/>
      <c r="C154" s="7"/>
      <c r="D154" s="7"/>
      <c r="E154" s="7"/>
      <c r="F154" s="7"/>
    </row>
    <row r="155" spans="1:6">
      <c r="A155" s="7"/>
      <c r="B155" s="8"/>
      <c r="C155" s="7"/>
      <c r="D155" s="7"/>
      <c r="E155" s="7"/>
      <c r="F155" s="7"/>
    </row>
    <row r="156" spans="1:6">
      <c r="A156" s="7"/>
      <c r="B156" s="8"/>
      <c r="C156" s="7"/>
      <c r="D156" s="7"/>
      <c r="E156" s="7"/>
      <c r="F156" s="7"/>
    </row>
    <row r="157" spans="1:6">
      <c r="A157" s="7"/>
      <c r="B157" s="8"/>
      <c r="C157" s="7"/>
      <c r="D157" s="7"/>
      <c r="E157" s="7"/>
      <c r="F157" s="7"/>
    </row>
    <row r="158" spans="1:6">
      <c r="A158" s="7"/>
      <c r="B158" s="8"/>
      <c r="C158" s="7"/>
      <c r="D158" s="7"/>
      <c r="E158" s="7"/>
      <c r="F158" s="7"/>
    </row>
    <row r="159" spans="1:6">
      <c r="A159" s="7"/>
      <c r="B159" s="8"/>
      <c r="C159" s="7"/>
      <c r="D159" s="7"/>
      <c r="E159" s="7"/>
      <c r="F159" s="7"/>
    </row>
    <row r="160" spans="1:6">
      <c r="A160" s="7"/>
      <c r="B160" s="8"/>
      <c r="C160" s="7"/>
      <c r="D160" s="7"/>
      <c r="E160" s="7"/>
      <c r="F160" s="7"/>
    </row>
    <row r="161" spans="1:6">
      <c r="A161" s="7"/>
      <c r="B161" s="8"/>
      <c r="C161" s="7"/>
      <c r="D161" s="7"/>
      <c r="E161" s="7"/>
      <c r="F161" s="7"/>
    </row>
    <row r="162" spans="1:6">
      <c r="A162" s="7"/>
      <c r="B162" s="8"/>
      <c r="C162" s="7"/>
      <c r="D162" s="7"/>
      <c r="E162" s="7"/>
      <c r="F162" s="7"/>
    </row>
    <row r="163" spans="1:6">
      <c r="A163" s="7"/>
      <c r="B163" s="8"/>
      <c r="C163" s="7"/>
      <c r="D163" s="7"/>
      <c r="E163" s="7"/>
      <c r="F163" s="7"/>
    </row>
    <row r="164" spans="1:6">
      <c r="A164" s="7"/>
      <c r="B164" s="8"/>
      <c r="C164" s="7"/>
      <c r="D164" s="7"/>
      <c r="E164" s="7"/>
      <c r="F164" s="7"/>
    </row>
    <row r="165" spans="1:6">
      <c r="A165" s="7"/>
      <c r="B165" s="8"/>
      <c r="C165" s="7"/>
      <c r="D165" s="7"/>
      <c r="E165" s="7"/>
      <c r="F165" s="7"/>
    </row>
    <row r="166" spans="1:6">
      <c r="A166" s="7"/>
      <c r="B166" s="8"/>
      <c r="C166" s="7"/>
      <c r="D166" s="7"/>
      <c r="E166" s="7"/>
      <c r="F166" s="7"/>
    </row>
    <row r="167" spans="1:6">
      <c r="A167" s="7"/>
      <c r="B167" s="8"/>
      <c r="C167" s="7"/>
      <c r="D167" s="7"/>
      <c r="E167" s="7"/>
      <c r="F167" s="7"/>
    </row>
    <row r="168" spans="1:6">
      <c r="A168" s="7"/>
      <c r="B168" s="8"/>
      <c r="C168" s="7"/>
      <c r="D168" s="7"/>
      <c r="E168" s="7"/>
      <c r="F168" s="7"/>
    </row>
    <row r="169" spans="1:6">
      <c r="A169" s="7"/>
      <c r="B169" s="8"/>
      <c r="C169" s="7"/>
      <c r="D169" s="7"/>
      <c r="E169" s="7"/>
      <c r="F169" s="7"/>
    </row>
    <row r="170" spans="1:6">
      <c r="A170" s="7"/>
      <c r="B170" s="8"/>
      <c r="C170" s="7"/>
      <c r="D170" s="7"/>
      <c r="E170" s="7"/>
      <c r="F170" s="7"/>
    </row>
    <row r="171" spans="1:6">
      <c r="A171" s="7"/>
      <c r="B171" s="8"/>
      <c r="C171" s="7"/>
      <c r="D171" s="7"/>
      <c r="E171" s="7"/>
      <c r="F171" s="7"/>
    </row>
    <row r="172" spans="1:6">
      <c r="A172" s="7"/>
      <c r="B172" s="8"/>
      <c r="C172" s="7"/>
      <c r="D172" s="7"/>
      <c r="E172" s="7"/>
      <c r="F172" s="7"/>
    </row>
    <row r="173" spans="1:6">
      <c r="A173" s="7"/>
      <c r="B173" s="8"/>
      <c r="C173" s="7"/>
      <c r="D173" s="7"/>
      <c r="E173" s="7"/>
      <c r="F173" s="7"/>
    </row>
    <row r="174" spans="1:6">
      <c r="A174" s="7"/>
      <c r="B174" s="8"/>
      <c r="C174" s="7"/>
      <c r="D174" s="7"/>
      <c r="E174" s="7"/>
      <c r="F174" s="7"/>
    </row>
    <row r="175" spans="1:6">
      <c r="A175" s="7"/>
      <c r="B175" s="8"/>
      <c r="C175" s="7"/>
      <c r="D175" s="7"/>
      <c r="E175" s="7"/>
      <c r="F175" s="7"/>
    </row>
    <row r="176" spans="1:6">
      <c r="A176" s="7"/>
      <c r="B176" s="8"/>
      <c r="C176" s="7"/>
      <c r="D176" s="7"/>
      <c r="E176" s="7"/>
      <c r="F176" s="7"/>
    </row>
    <row r="177" spans="1:6">
      <c r="A177" s="7"/>
      <c r="B177" s="8"/>
      <c r="C177" s="7"/>
      <c r="D177" s="7"/>
      <c r="E177" s="7"/>
      <c r="F177" s="7"/>
    </row>
    <row r="178" spans="1:6">
      <c r="A178" s="7"/>
      <c r="B178" s="8"/>
      <c r="C178" s="7"/>
      <c r="D178" s="7"/>
      <c r="E178" s="7"/>
      <c r="F178" s="7"/>
    </row>
    <row r="179" spans="1:6">
      <c r="A179" s="7"/>
      <c r="B179" s="8"/>
      <c r="C179" s="7"/>
      <c r="D179" s="7"/>
      <c r="E179" s="7"/>
      <c r="F179" s="7"/>
    </row>
    <row r="180" spans="1:6">
      <c r="A180" s="7"/>
      <c r="B180" s="8"/>
      <c r="C180" s="7"/>
      <c r="D180" s="7"/>
      <c r="E180" s="7"/>
      <c r="F180" s="7"/>
    </row>
    <row r="181" spans="1:6">
      <c r="A181" s="7"/>
      <c r="B181" s="8"/>
      <c r="C181" s="7"/>
      <c r="D181" s="7"/>
      <c r="E181" s="7"/>
      <c r="F181" s="7"/>
    </row>
    <row r="182" spans="1:6">
      <c r="A182" s="7"/>
      <c r="B182" s="8"/>
      <c r="C182" s="7"/>
      <c r="D182" s="7"/>
      <c r="E182" s="7"/>
      <c r="F182" s="7"/>
    </row>
    <row r="183" spans="1:6">
      <c r="A183" s="7"/>
      <c r="B183" s="8"/>
      <c r="C183" s="7"/>
      <c r="D183" s="7"/>
      <c r="E183" s="7"/>
      <c r="F183" s="7"/>
    </row>
    <row r="184" spans="1:6">
      <c r="A184" s="7"/>
      <c r="B184" s="8"/>
      <c r="C184" s="7"/>
      <c r="D184" s="7"/>
      <c r="E184" s="7"/>
      <c r="F184" s="7"/>
    </row>
    <row r="185" spans="1:6">
      <c r="A185" s="7"/>
      <c r="B185" s="8"/>
      <c r="C185" s="7"/>
      <c r="D185" s="7"/>
      <c r="E185" s="7"/>
      <c r="F185" s="7"/>
    </row>
    <row r="186" spans="1:6">
      <c r="A186" s="7"/>
      <c r="B186" s="8"/>
      <c r="C186" s="7"/>
      <c r="D186" s="7"/>
      <c r="E186" s="7"/>
      <c r="F186" s="7"/>
    </row>
    <row r="187" spans="1:6">
      <c r="A187" s="7"/>
      <c r="B187" s="8"/>
      <c r="C187" s="7"/>
      <c r="D187" s="7"/>
      <c r="E187" s="7"/>
      <c r="F187" s="7"/>
    </row>
    <row r="188" spans="1:6">
      <c r="A188" s="7"/>
      <c r="B188" s="8"/>
      <c r="C188" s="7"/>
      <c r="D188" s="7"/>
      <c r="E188" s="7"/>
      <c r="F188" s="7"/>
    </row>
    <row r="189" spans="1:6">
      <c r="A189" s="7"/>
      <c r="B189" s="8"/>
      <c r="C189" s="7"/>
      <c r="D189" s="7"/>
      <c r="E189" s="7"/>
      <c r="F189" s="7"/>
    </row>
    <row r="190" spans="1:6">
      <c r="A190" s="7"/>
      <c r="B190" s="8"/>
      <c r="C190" s="7"/>
      <c r="D190" s="7"/>
      <c r="E190" s="7"/>
      <c r="F190" s="7"/>
    </row>
    <row r="191" spans="1:6">
      <c r="A191" s="7"/>
      <c r="B191" s="8"/>
      <c r="C191" s="7"/>
      <c r="D191" s="7"/>
      <c r="E191" s="7"/>
      <c r="F191" s="7"/>
    </row>
    <row r="192" spans="1:6">
      <c r="A192" s="7"/>
      <c r="B192" s="8"/>
      <c r="C192" s="7"/>
      <c r="D192" s="7"/>
      <c r="E192" s="7"/>
      <c r="F192" s="7"/>
    </row>
    <row r="193" spans="1:6">
      <c r="A193" s="7"/>
      <c r="B193" s="8"/>
      <c r="C193" s="7"/>
      <c r="D193" s="7"/>
      <c r="E193" s="7"/>
      <c r="F193" s="7"/>
    </row>
    <row r="194" spans="1:6">
      <c r="A194" s="7"/>
      <c r="B194" s="8"/>
      <c r="C194" s="7"/>
      <c r="D194" s="7"/>
      <c r="E194" s="7"/>
      <c r="F194" s="7"/>
    </row>
    <row r="195" spans="1:6">
      <c r="A195" s="7"/>
      <c r="B195" s="8"/>
      <c r="C195" s="7"/>
      <c r="D195" s="7"/>
      <c r="E195" s="7"/>
      <c r="F195" s="7"/>
    </row>
    <row r="196" spans="1:6">
      <c r="A196" s="7"/>
      <c r="B196" s="8"/>
      <c r="C196" s="7"/>
      <c r="D196" s="7"/>
      <c r="E196" s="7"/>
      <c r="F196" s="7"/>
    </row>
    <row r="197" spans="1:6">
      <c r="A197" s="7"/>
      <c r="B197" s="8"/>
      <c r="C197" s="7"/>
      <c r="D197" s="7"/>
      <c r="E197" s="7"/>
      <c r="F197" s="7"/>
    </row>
    <row r="198" spans="1:6">
      <c r="A198" s="7"/>
      <c r="B198" s="8"/>
      <c r="C198" s="7"/>
      <c r="D198" s="7"/>
      <c r="E198" s="7"/>
      <c r="F198" s="7"/>
    </row>
    <row r="199" spans="1:6">
      <c r="A199" s="7"/>
      <c r="B199" s="8"/>
      <c r="C199" s="7"/>
      <c r="D199" s="7"/>
      <c r="E199" s="7"/>
      <c r="F199" s="7"/>
    </row>
    <row r="200" spans="1:6">
      <c r="A200" s="7"/>
      <c r="B200" s="8"/>
      <c r="C200" s="7"/>
      <c r="D200" s="7"/>
      <c r="E200" s="7"/>
      <c r="F200" s="7"/>
    </row>
    <row r="201" spans="1:6">
      <c r="A201" s="7"/>
      <c r="B201" s="8"/>
      <c r="C201" s="7"/>
      <c r="D201" s="7"/>
      <c r="E201" s="7"/>
      <c r="F201" s="7"/>
    </row>
    <row r="202" spans="1:6">
      <c r="A202" s="7"/>
      <c r="B202" s="8"/>
      <c r="C202" s="7"/>
      <c r="D202" s="7"/>
      <c r="E202" s="7"/>
      <c r="F202" s="7"/>
    </row>
    <row r="203" spans="1:6">
      <c r="A203" s="7"/>
      <c r="B203" s="8"/>
      <c r="C203" s="7"/>
      <c r="D203" s="7"/>
      <c r="E203" s="7"/>
      <c r="F203" s="7"/>
    </row>
    <row r="204" spans="1:6">
      <c r="A204" s="7"/>
      <c r="B204" s="8"/>
      <c r="C204" s="7"/>
      <c r="D204" s="7"/>
      <c r="E204" s="7"/>
      <c r="F204" s="7"/>
    </row>
    <row r="205" spans="1:6">
      <c r="A205" s="7"/>
      <c r="B205" s="8"/>
      <c r="C205" s="7"/>
      <c r="D205" s="7"/>
      <c r="E205" s="7"/>
      <c r="F205" s="7"/>
    </row>
    <row r="206" spans="1:6">
      <c r="A206" s="7"/>
      <c r="B206" s="8"/>
      <c r="C206" s="7"/>
      <c r="D206" s="7"/>
      <c r="E206" s="7"/>
      <c r="F206" s="7"/>
    </row>
    <row r="207" spans="1:6">
      <c r="A207" s="7"/>
      <c r="B207" s="8"/>
      <c r="C207" s="7"/>
      <c r="D207" s="7"/>
      <c r="E207" s="7"/>
      <c r="F207" s="7"/>
    </row>
    <row r="208" spans="1:6">
      <c r="A208" s="7"/>
      <c r="B208" s="8"/>
      <c r="C208" s="7"/>
      <c r="D208" s="7"/>
      <c r="E208" s="7"/>
      <c r="F208" s="7"/>
    </row>
    <row r="209" spans="1:6">
      <c r="A209" s="7"/>
      <c r="B209" s="8"/>
      <c r="C209" s="7"/>
      <c r="D209" s="7"/>
      <c r="E209" s="7"/>
      <c r="F209" s="7"/>
    </row>
    <row r="210" spans="1:6">
      <c r="A210" s="7"/>
      <c r="B210" s="8"/>
      <c r="C210" s="7"/>
      <c r="D210" s="7"/>
      <c r="E210" s="7"/>
      <c r="F210" s="7"/>
    </row>
    <row r="211" spans="1:6">
      <c r="A211" s="7"/>
      <c r="B211" s="8"/>
      <c r="C211" s="7"/>
      <c r="D211" s="7"/>
      <c r="E211" s="7"/>
      <c r="F211" s="7"/>
    </row>
    <row r="212" spans="1:6">
      <c r="A212" s="7"/>
      <c r="B212" s="8"/>
      <c r="C212" s="7"/>
      <c r="D212" s="7"/>
      <c r="E212" s="7"/>
      <c r="F212" s="7"/>
    </row>
    <row r="213" spans="1:6">
      <c r="A213" s="7"/>
      <c r="B213" s="8"/>
      <c r="C213" s="7"/>
      <c r="D213" s="7"/>
      <c r="E213" s="7"/>
      <c r="F213" s="7"/>
    </row>
    <row r="214" spans="1:6">
      <c r="A214" s="7"/>
      <c r="B214" s="8"/>
      <c r="C214" s="7"/>
      <c r="D214" s="7"/>
      <c r="E214" s="7"/>
      <c r="F214" s="7"/>
    </row>
    <row r="215" spans="1:6">
      <c r="A215" s="7"/>
      <c r="B215" s="8"/>
      <c r="C215" s="7"/>
      <c r="D215" s="7"/>
      <c r="E215" s="7"/>
      <c r="F215" s="7"/>
    </row>
    <row r="216" spans="1:6">
      <c r="A216" s="7"/>
      <c r="B216" s="8"/>
      <c r="C216" s="7"/>
      <c r="D216" s="7"/>
      <c r="E216" s="7"/>
      <c r="F216" s="7"/>
    </row>
    <row r="217" spans="1:6">
      <c r="A217" s="7"/>
      <c r="B217" s="8"/>
      <c r="C217" s="7"/>
      <c r="D217" s="7"/>
      <c r="E217" s="7"/>
      <c r="F217" s="7"/>
    </row>
    <row r="218" spans="1:6">
      <c r="A218" s="7"/>
      <c r="B218" s="8"/>
      <c r="C218" s="7"/>
      <c r="D218" s="7"/>
      <c r="E218" s="7"/>
      <c r="F218" s="7"/>
    </row>
    <row r="219" spans="1:6">
      <c r="A219" s="7"/>
      <c r="B219" s="8"/>
      <c r="C219" s="7"/>
      <c r="D219" s="7"/>
      <c r="E219" s="7"/>
      <c r="F219" s="7"/>
    </row>
    <row r="220" spans="1:6">
      <c r="A220" s="7"/>
      <c r="B220" s="8"/>
      <c r="C220" s="7"/>
      <c r="D220" s="7"/>
      <c r="E220" s="7"/>
      <c r="F220" s="7"/>
    </row>
    <row r="221" spans="1:6">
      <c r="A221" s="7"/>
      <c r="B221" s="8"/>
      <c r="C221" s="7"/>
      <c r="D221" s="7"/>
      <c r="E221" s="7"/>
      <c r="F221" s="7"/>
    </row>
    <row r="222" spans="1:6">
      <c r="A222" s="7"/>
      <c r="B222" s="8"/>
      <c r="C222" s="7"/>
      <c r="D222" s="7"/>
      <c r="E222" s="7"/>
      <c r="F222" s="7"/>
    </row>
    <row r="223" spans="1:6">
      <c r="A223" s="7"/>
      <c r="B223" s="8"/>
      <c r="C223" s="7"/>
      <c r="D223" s="7"/>
      <c r="E223" s="7"/>
      <c r="F223" s="7"/>
    </row>
    <row r="224" spans="1:6">
      <c r="A224" s="7"/>
      <c r="B224" s="8"/>
      <c r="C224" s="7"/>
      <c r="D224" s="7"/>
      <c r="E224" s="7"/>
      <c r="F224" s="7"/>
    </row>
    <row r="225" spans="1:6">
      <c r="A225" s="7"/>
      <c r="B225" s="8"/>
      <c r="C225" s="7"/>
      <c r="D225" s="7"/>
      <c r="E225" s="7"/>
      <c r="F225" s="7"/>
    </row>
    <row r="226" spans="1:6">
      <c r="A226" s="7"/>
      <c r="B226" s="8"/>
      <c r="C226" s="7"/>
      <c r="D226" s="7"/>
      <c r="E226" s="7"/>
      <c r="F226" s="7"/>
    </row>
    <row r="227" spans="1:6">
      <c r="A227" s="7"/>
      <c r="B227" s="8"/>
      <c r="C227" s="7"/>
      <c r="D227" s="7"/>
      <c r="E227" s="7"/>
      <c r="F227" s="7"/>
    </row>
    <row r="228" spans="1:6">
      <c r="A228" s="7"/>
      <c r="B228" s="8"/>
      <c r="C228" s="7"/>
      <c r="D228" s="7"/>
      <c r="E228" s="7"/>
      <c r="F228" s="7"/>
    </row>
    <row r="229" spans="1:6">
      <c r="A229" s="7"/>
      <c r="B229" s="8"/>
      <c r="C229" s="7"/>
      <c r="D229" s="7"/>
      <c r="E229" s="7"/>
      <c r="F229" s="7"/>
    </row>
    <row r="230" spans="1:6">
      <c r="A230" s="7"/>
      <c r="B230" s="8"/>
      <c r="C230" s="7"/>
      <c r="D230" s="7"/>
      <c r="E230" s="7"/>
      <c r="F230" s="7"/>
    </row>
    <row r="231" spans="1:6">
      <c r="A231" s="7"/>
      <c r="B231" s="8"/>
      <c r="C231" s="7"/>
      <c r="D231" s="7"/>
      <c r="E231" s="7"/>
      <c r="F231" s="7"/>
    </row>
    <row r="232" spans="1:6">
      <c r="A232" s="7"/>
      <c r="B232" s="8"/>
      <c r="C232" s="7"/>
      <c r="D232" s="7"/>
      <c r="E232" s="7"/>
      <c r="F232" s="7"/>
    </row>
    <row r="233" spans="1:6">
      <c r="A233" s="7"/>
      <c r="B233" s="8"/>
      <c r="C233" s="7"/>
      <c r="D233" s="7"/>
      <c r="E233" s="7"/>
      <c r="F233" s="7"/>
    </row>
    <row r="234" spans="1:6">
      <c r="A234" s="7"/>
      <c r="B234" s="8"/>
      <c r="C234" s="7"/>
      <c r="D234" s="7"/>
      <c r="E234" s="7"/>
      <c r="F234" s="7"/>
    </row>
    <row r="235" spans="1:6">
      <c r="A235" s="7"/>
      <c r="B235" s="8"/>
      <c r="C235" s="7"/>
      <c r="D235" s="7"/>
      <c r="E235" s="7"/>
      <c r="F235" s="7"/>
    </row>
    <row r="236" spans="1:6">
      <c r="A236" s="7"/>
      <c r="B236" s="8"/>
      <c r="C236" s="7"/>
      <c r="D236" s="7"/>
      <c r="E236" s="7"/>
      <c r="F236" s="7"/>
    </row>
    <row r="237" spans="1:6">
      <c r="A237" s="7"/>
      <c r="B237" s="8"/>
      <c r="C237" s="7"/>
      <c r="D237" s="7"/>
      <c r="E237" s="7"/>
      <c r="F237" s="7"/>
    </row>
    <row r="238" spans="1:6">
      <c r="A238" s="7"/>
      <c r="B238" s="8"/>
      <c r="C238" s="7"/>
      <c r="D238" s="7"/>
      <c r="E238" s="7"/>
      <c r="F238" s="7"/>
    </row>
    <row r="239" spans="1:6">
      <c r="A239" s="7"/>
      <c r="B239" s="8"/>
      <c r="C239" s="7"/>
      <c r="D239" s="7"/>
      <c r="E239" s="7"/>
      <c r="F239" s="7"/>
    </row>
    <row r="240" spans="1:6">
      <c r="A240" s="7"/>
      <c r="B240" s="8"/>
      <c r="C240" s="7"/>
      <c r="D240" s="7"/>
      <c r="E240" s="7"/>
      <c r="F240" s="7"/>
    </row>
    <row r="241" spans="1:6">
      <c r="A241" s="7"/>
      <c r="B241" s="8"/>
      <c r="C241" s="7"/>
      <c r="D241" s="7"/>
      <c r="E241" s="7"/>
      <c r="F241" s="7"/>
    </row>
    <row r="242" spans="1:6">
      <c r="A242" s="7"/>
      <c r="B242" s="8"/>
      <c r="C242" s="7"/>
      <c r="D242" s="7"/>
      <c r="E242" s="7"/>
      <c r="F242" s="7"/>
    </row>
    <row r="243" spans="1:6">
      <c r="A243" s="7"/>
      <c r="B243" s="8"/>
      <c r="C243" s="7"/>
      <c r="D243" s="7"/>
      <c r="E243" s="7"/>
      <c r="F243" s="7"/>
    </row>
    <row r="244" spans="1:6">
      <c r="A244" s="7"/>
      <c r="B244" s="8"/>
      <c r="C244" s="7"/>
      <c r="D244" s="7"/>
      <c r="E244" s="7"/>
      <c r="F244" s="7"/>
    </row>
    <row r="245" spans="1:6">
      <c r="A245" s="7"/>
      <c r="B245" s="8"/>
      <c r="C245" s="7"/>
      <c r="D245" s="7"/>
      <c r="E245" s="7"/>
      <c r="F245" s="7"/>
    </row>
    <row r="246" spans="1:6">
      <c r="A246" s="7"/>
      <c r="B246" s="8"/>
      <c r="C246" s="7"/>
      <c r="D246" s="7"/>
      <c r="E246" s="7"/>
      <c r="F246" s="7"/>
    </row>
    <row r="247" spans="1:6">
      <c r="A247" s="7"/>
      <c r="B247" s="8"/>
      <c r="C247" s="7"/>
      <c r="D247" s="7"/>
      <c r="E247" s="7"/>
      <c r="F247" s="7"/>
    </row>
    <row r="248" spans="1:6">
      <c r="A248" s="7"/>
      <c r="B248" s="8"/>
      <c r="C248" s="7"/>
      <c r="D248" s="7"/>
      <c r="E248" s="7"/>
      <c r="F248" s="7"/>
    </row>
    <row r="249" spans="1:6">
      <c r="A249" s="7"/>
      <c r="B249" s="8"/>
      <c r="C249" s="7"/>
      <c r="D249" s="7"/>
      <c r="E249" s="7"/>
      <c r="F249" s="7"/>
    </row>
    <row r="250" spans="1:6">
      <c r="A250" s="7"/>
      <c r="B250" s="8"/>
      <c r="C250" s="7"/>
      <c r="D250" s="7"/>
      <c r="E250" s="7"/>
      <c r="F250" s="7"/>
    </row>
    <row r="251" spans="1:6">
      <c r="A251" s="7"/>
      <c r="B251" s="8"/>
      <c r="C251" s="7"/>
      <c r="D251" s="7"/>
      <c r="E251" s="7"/>
      <c r="F251" s="7"/>
    </row>
    <row r="252" spans="1:6">
      <c r="A252" s="7"/>
      <c r="B252" s="8"/>
      <c r="C252" s="7"/>
      <c r="D252" s="7"/>
      <c r="E252" s="7"/>
      <c r="F252" s="7"/>
    </row>
    <row r="253" spans="1:6">
      <c r="A253" s="7"/>
      <c r="B253" s="8"/>
      <c r="C253" s="7"/>
      <c r="D253" s="7"/>
      <c r="E253" s="7"/>
      <c r="F253" s="7"/>
    </row>
    <row r="254" spans="1:6">
      <c r="A254" s="7"/>
      <c r="B254" s="8"/>
      <c r="C254" s="7"/>
      <c r="D254" s="7"/>
      <c r="E254" s="7"/>
      <c r="F254" s="7"/>
    </row>
    <row r="255" spans="1:6">
      <c r="A255" s="7"/>
      <c r="B255" s="8"/>
      <c r="C255" s="7"/>
      <c r="D255" s="7"/>
      <c r="E255" s="7"/>
      <c r="F255" s="7"/>
    </row>
    <row r="256" spans="1:6">
      <c r="A256" s="7"/>
      <c r="B256" s="8"/>
      <c r="C256" s="7"/>
      <c r="D256" s="7"/>
      <c r="E256" s="7"/>
      <c r="F256" s="7"/>
    </row>
    <row r="257" spans="1:6">
      <c r="A257" s="7"/>
      <c r="B257" s="8"/>
      <c r="C257" s="7"/>
      <c r="D257" s="7"/>
      <c r="E257" s="7"/>
      <c r="F257" s="7"/>
    </row>
    <row r="258" spans="1:6">
      <c r="A258" s="7"/>
      <c r="B258" s="8"/>
      <c r="C258" s="7"/>
      <c r="D258" s="7"/>
      <c r="E258" s="7"/>
      <c r="F258" s="7"/>
    </row>
    <row r="259" spans="1:6">
      <c r="A259" s="7"/>
      <c r="B259" s="8"/>
      <c r="C259" s="7"/>
      <c r="D259" s="7"/>
      <c r="E259" s="7"/>
      <c r="F259" s="7"/>
    </row>
    <row r="260" spans="1:6">
      <c r="A260" s="7"/>
      <c r="B260" s="8"/>
      <c r="C260" s="7"/>
      <c r="D260" s="7"/>
      <c r="E260" s="7"/>
      <c r="F260" s="7"/>
    </row>
    <row r="261" spans="1:6">
      <c r="A261" s="7"/>
      <c r="B261" s="8"/>
      <c r="C261" s="7"/>
      <c r="D261" s="7"/>
      <c r="E261" s="7"/>
      <c r="F261" s="7"/>
    </row>
    <row r="262" spans="1:6">
      <c r="A262" s="7"/>
      <c r="B262" s="8"/>
      <c r="C262" s="7"/>
      <c r="D262" s="7"/>
      <c r="E262" s="7"/>
      <c r="F262" s="7"/>
    </row>
    <row r="263" spans="1:6">
      <c r="A263" s="7"/>
      <c r="B263" s="8"/>
      <c r="C263" s="7"/>
      <c r="D263" s="7"/>
      <c r="E263" s="7"/>
      <c r="F263" s="7"/>
    </row>
    <row r="264" spans="1:6">
      <c r="A264" s="7"/>
      <c r="B264" s="8"/>
      <c r="C264" s="7"/>
      <c r="D264" s="7"/>
      <c r="E264" s="7"/>
      <c r="F264" s="7"/>
    </row>
    <row r="265" spans="1:6">
      <c r="A265" s="7"/>
      <c r="B265" s="8"/>
      <c r="C265" s="7"/>
      <c r="D265" s="7"/>
      <c r="E265" s="7"/>
      <c r="F265" s="7"/>
    </row>
    <row r="266" spans="1:6">
      <c r="A266" s="7"/>
      <c r="B266" s="8"/>
      <c r="C266" s="7"/>
      <c r="D266" s="7"/>
      <c r="E266" s="7"/>
      <c r="F266" s="7"/>
    </row>
    <row r="267" spans="1:6">
      <c r="A267" s="7"/>
      <c r="B267" s="8"/>
      <c r="C267" s="7"/>
      <c r="D267" s="7"/>
      <c r="E267" s="7"/>
      <c r="F267" s="7"/>
    </row>
    <row r="268" spans="1:6">
      <c r="A268" s="7"/>
      <c r="B268" s="8"/>
      <c r="C268" s="7"/>
      <c r="D268" s="7"/>
      <c r="E268" s="7"/>
      <c r="F268" s="7"/>
    </row>
    <row r="269" spans="1:6">
      <c r="A269" s="7"/>
      <c r="B269" s="8"/>
      <c r="C269" s="7"/>
      <c r="D269" s="7"/>
      <c r="E269" s="7"/>
      <c r="F269" s="7"/>
    </row>
    <row r="270" spans="1:6">
      <c r="A270" s="7"/>
      <c r="B270" s="8"/>
      <c r="C270" s="7"/>
      <c r="D270" s="7"/>
      <c r="E270" s="7"/>
      <c r="F270" s="7"/>
    </row>
    <row r="271" spans="1:6">
      <c r="A271" s="7"/>
      <c r="B271" s="8"/>
      <c r="C271" s="7"/>
      <c r="D271" s="7"/>
      <c r="E271" s="7"/>
      <c r="F271" s="7"/>
    </row>
    <row r="272" spans="1:6">
      <c r="A272" s="7"/>
      <c r="B272" s="8"/>
      <c r="C272" s="7"/>
      <c r="D272" s="7"/>
      <c r="E272" s="7"/>
      <c r="F272" s="7"/>
    </row>
    <row r="273" spans="1:6">
      <c r="A273" s="7"/>
      <c r="B273" s="8"/>
      <c r="C273" s="7"/>
      <c r="D273" s="7"/>
      <c r="E273" s="7"/>
      <c r="F273" s="7"/>
    </row>
    <row r="274" spans="1:6">
      <c r="A274" s="7"/>
      <c r="B274" s="8"/>
      <c r="C274" s="7"/>
      <c r="D274" s="7"/>
      <c r="E274" s="7"/>
      <c r="F274" s="7"/>
    </row>
    <row r="275" spans="1:6">
      <c r="A275" s="7"/>
      <c r="B275" s="8"/>
      <c r="C275" s="7"/>
      <c r="D275" s="7"/>
      <c r="E275" s="7"/>
      <c r="F275" s="7"/>
    </row>
    <row r="276" spans="1:6">
      <c r="A276" s="7"/>
      <c r="B276" s="8"/>
      <c r="C276" s="7"/>
      <c r="D276" s="7"/>
      <c r="E276" s="7"/>
      <c r="F276" s="7"/>
    </row>
    <row r="277" spans="1:6">
      <c r="A277" s="7"/>
      <c r="B277" s="8"/>
      <c r="C277" s="7"/>
      <c r="D277" s="7"/>
      <c r="E277" s="7"/>
      <c r="F277" s="7"/>
    </row>
    <row r="278" spans="1:6">
      <c r="A278" s="7"/>
      <c r="B278" s="8"/>
      <c r="C278" s="7"/>
      <c r="D278" s="7"/>
      <c r="E278" s="7"/>
      <c r="F278" s="7"/>
    </row>
    <row r="279" spans="1:6">
      <c r="A279" s="7"/>
      <c r="B279" s="8"/>
      <c r="C279" s="7"/>
      <c r="D279" s="7"/>
      <c r="E279" s="7"/>
      <c r="F279" s="7"/>
    </row>
    <row r="280" spans="1:6">
      <c r="A280" s="7"/>
      <c r="B280" s="8"/>
      <c r="C280" s="7"/>
      <c r="D280" s="7"/>
      <c r="E280" s="7"/>
      <c r="F280" s="7"/>
    </row>
    <row r="281" spans="1:6">
      <c r="A281" s="7"/>
      <c r="B281" s="8"/>
      <c r="C281" s="7"/>
      <c r="D281" s="7"/>
      <c r="E281" s="7"/>
      <c r="F281" s="7"/>
    </row>
    <row r="282" spans="1:6">
      <c r="A282" s="7"/>
      <c r="B282" s="8"/>
      <c r="C282" s="7"/>
      <c r="D282" s="7"/>
      <c r="E282" s="7"/>
      <c r="F282" s="7"/>
    </row>
    <row r="283" spans="1:6">
      <c r="A283" s="7"/>
      <c r="B283" s="8"/>
      <c r="C283" s="7"/>
      <c r="D283" s="7"/>
      <c r="E283" s="7"/>
      <c r="F283" s="7"/>
    </row>
    <row r="284" spans="1:6">
      <c r="A284" s="7"/>
      <c r="B284" s="8"/>
      <c r="C284" s="7"/>
      <c r="D284" s="7"/>
      <c r="E284" s="7"/>
      <c r="F284" s="7"/>
    </row>
    <row r="285" spans="1:6">
      <c r="A285" s="7"/>
      <c r="B285" s="8"/>
      <c r="C285" s="7"/>
      <c r="D285" s="7"/>
      <c r="E285" s="7"/>
      <c r="F285" s="7"/>
    </row>
    <row r="286" spans="1:6">
      <c r="A286" s="7"/>
      <c r="B286" s="8"/>
      <c r="C286" s="7"/>
      <c r="D286" s="7"/>
      <c r="E286" s="7"/>
      <c r="F286" s="7"/>
    </row>
    <row r="287" spans="1:6">
      <c r="A287" s="7"/>
      <c r="B287" s="8"/>
      <c r="C287" s="7"/>
      <c r="D287" s="7"/>
      <c r="E287" s="7"/>
      <c r="F287" s="7"/>
    </row>
    <row r="288" spans="1:6">
      <c r="A288" s="7"/>
      <c r="B288" s="8"/>
      <c r="C288" s="7"/>
      <c r="D288" s="7"/>
      <c r="E288" s="7"/>
      <c r="F288" s="7"/>
    </row>
    <row r="289" spans="1:6">
      <c r="A289" s="7"/>
      <c r="B289" s="8"/>
      <c r="C289" s="7"/>
      <c r="D289" s="7"/>
      <c r="E289" s="7"/>
      <c r="F289" s="7"/>
    </row>
    <row r="290" spans="1:6">
      <c r="A290" s="7"/>
      <c r="B290" s="8"/>
      <c r="C290" s="7"/>
      <c r="D290" s="7"/>
      <c r="E290" s="7"/>
      <c r="F290" s="7"/>
    </row>
    <row r="291" spans="1:6">
      <c r="A291" s="7"/>
      <c r="B291" s="8"/>
      <c r="C291" s="7"/>
      <c r="D291" s="7"/>
      <c r="E291" s="7"/>
      <c r="F291" s="7"/>
    </row>
    <row r="292" spans="1:6">
      <c r="A292" s="7"/>
      <c r="B292" s="8"/>
      <c r="C292" s="7"/>
      <c r="D292" s="7"/>
      <c r="E292" s="7"/>
      <c r="F292" s="7"/>
    </row>
    <row r="293" spans="1:6">
      <c r="A293" s="7"/>
      <c r="B293" s="8"/>
      <c r="C293" s="7"/>
      <c r="D293" s="7"/>
      <c r="E293" s="7"/>
      <c r="F293" s="7"/>
    </row>
    <row r="294" spans="1:6">
      <c r="A294" s="7"/>
      <c r="B294" s="8"/>
      <c r="C294" s="7"/>
      <c r="D294" s="7"/>
      <c r="E294" s="7"/>
      <c r="F294" s="7"/>
    </row>
    <row r="295" spans="1:6">
      <c r="A295" s="7"/>
      <c r="B295" s="8"/>
      <c r="C295" s="7"/>
      <c r="D295" s="7"/>
      <c r="E295" s="7"/>
      <c r="F295" s="7"/>
    </row>
    <row r="296" spans="1:6">
      <c r="A296" s="7"/>
      <c r="B296" s="8"/>
      <c r="C296" s="7"/>
      <c r="D296" s="7"/>
      <c r="E296" s="7"/>
      <c r="F296" s="7"/>
    </row>
    <row r="297" spans="1:6">
      <c r="A297" s="7"/>
      <c r="B297" s="8"/>
      <c r="C297" s="7"/>
      <c r="D297" s="7"/>
      <c r="E297" s="7"/>
      <c r="F297" s="7"/>
    </row>
    <row r="298" spans="1:6">
      <c r="A298" s="7"/>
      <c r="B298" s="8"/>
      <c r="C298" s="7"/>
      <c r="D298" s="7"/>
      <c r="E298" s="7"/>
      <c r="F298" s="7"/>
    </row>
    <row r="299" spans="1:6">
      <c r="A299" s="7"/>
      <c r="B299" s="8"/>
      <c r="C299" s="7"/>
      <c r="D299" s="7"/>
      <c r="E299" s="7"/>
      <c r="F299" s="7"/>
    </row>
    <row r="300" spans="1:6">
      <c r="A300" s="7"/>
      <c r="B300" s="8"/>
      <c r="C300" s="7"/>
      <c r="D300" s="7"/>
      <c r="E300" s="7"/>
      <c r="F300" s="7"/>
    </row>
    <row r="301" spans="1:6">
      <c r="A301" s="7"/>
      <c r="B301" s="8"/>
      <c r="C301" s="7"/>
      <c r="D301" s="7"/>
      <c r="E301" s="7"/>
      <c r="F301" s="7"/>
    </row>
    <row r="302" spans="1:6">
      <c r="A302" s="7"/>
      <c r="B302" s="8"/>
      <c r="C302" s="7"/>
      <c r="D302" s="7"/>
      <c r="E302" s="7"/>
      <c r="F302" s="7"/>
    </row>
    <row r="303" spans="1:6">
      <c r="A303" s="7"/>
      <c r="B303" s="8"/>
      <c r="C303" s="7"/>
      <c r="D303" s="7"/>
      <c r="E303" s="7"/>
      <c r="F303" s="7"/>
    </row>
    <row r="304" spans="1:6">
      <c r="A304" s="7"/>
      <c r="B304" s="8"/>
      <c r="C304" s="7"/>
      <c r="D304" s="7"/>
      <c r="E304" s="7"/>
      <c r="F304" s="7"/>
    </row>
    <row r="305" spans="1:6">
      <c r="A305" s="7"/>
      <c r="B305" s="8"/>
      <c r="C305" s="7"/>
      <c r="D305" s="7"/>
      <c r="E305" s="7"/>
      <c r="F305" s="7"/>
    </row>
    <row r="306" spans="1:6">
      <c r="A306" s="7"/>
      <c r="B306" s="8"/>
      <c r="C306" s="7"/>
      <c r="D306" s="7"/>
      <c r="E306" s="7"/>
      <c r="F306" s="7"/>
    </row>
    <row r="307" spans="1:6">
      <c r="A307" s="7"/>
      <c r="B307" s="8"/>
      <c r="C307" s="7"/>
      <c r="D307" s="7"/>
      <c r="E307" s="7"/>
      <c r="F307" s="7"/>
    </row>
    <row r="308" spans="1:6">
      <c r="A308" s="7"/>
      <c r="B308" s="8"/>
      <c r="C308" s="7"/>
      <c r="D308" s="7"/>
      <c r="E308" s="7"/>
      <c r="F308" s="7"/>
    </row>
    <row r="309" spans="1:6">
      <c r="A309" s="7"/>
      <c r="B309" s="8"/>
      <c r="C309" s="7"/>
      <c r="D309" s="7"/>
      <c r="E309" s="7"/>
      <c r="F309" s="7"/>
    </row>
    <row r="310" spans="1:6">
      <c r="A310" s="7"/>
      <c r="B310" s="8"/>
      <c r="C310" s="7"/>
      <c r="D310" s="7"/>
      <c r="E310" s="7"/>
      <c r="F310" s="7"/>
    </row>
    <row r="311" spans="1:6">
      <c r="A311" s="7"/>
      <c r="B311" s="8"/>
      <c r="C311" s="7"/>
      <c r="D311" s="7"/>
      <c r="E311" s="7"/>
      <c r="F311" s="7"/>
    </row>
    <row r="312" spans="1:6">
      <c r="A312" s="7"/>
      <c r="B312" s="8"/>
      <c r="C312" s="7"/>
      <c r="D312" s="7"/>
      <c r="E312" s="7"/>
      <c r="F312" s="7"/>
    </row>
    <row r="313" spans="1:6">
      <c r="A313" s="7"/>
      <c r="B313" s="8"/>
      <c r="C313" s="7"/>
      <c r="D313" s="7"/>
      <c r="E313" s="7"/>
      <c r="F313" s="7"/>
    </row>
    <row r="314" spans="1:6">
      <c r="A314" s="7"/>
      <c r="B314" s="8"/>
      <c r="C314" s="7"/>
      <c r="D314" s="7"/>
      <c r="E314" s="7"/>
      <c r="F314" s="7"/>
    </row>
    <row r="315" spans="1:6">
      <c r="A315" s="7"/>
      <c r="B315" s="8"/>
      <c r="C315" s="7"/>
      <c r="D315" s="7"/>
      <c r="E315" s="7"/>
      <c r="F315" s="7"/>
    </row>
    <row r="316" spans="1:6">
      <c r="A316" s="7"/>
      <c r="B316" s="8"/>
      <c r="C316" s="7"/>
      <c r="D316" s="7"/>
      <c r="E316" s="7"/>
      <c r="F316" s="7"/>
    </row>
    <row r="317" spans="1:6">
      <c r="A317" s="7"/>
      <c r="B317" s="8"/>
      <c r="C317" s="7"/>
      <c r="D317" s="7"/>
      <c r="E317" s="7"/>
      <c r="F317" s="7"/>
    </row>
    <row r="318" spans="1:6">
      <c r="A318" s="7"/>
      <c r="B318" s="8"/>
      <c r="C318" s="7"/>
      <c r="D318" s="7"/>
      <c r="E318" s="7"/>
      <c r="F318" s="7"/>
    </row>
    <row r="319" spans="1:6">
      <c r="A319" s="7"/>
      <c r="B319" s="8"/>
      <c r="C319" s="7"/>
      <c r="D319" s="7"/>
      <c r="E319" s="7"/>
      <c r="F319" s="7"/>
    </row>
    <row r="320" spans="1:6">
      <c r="A320" s="7"/>
      <c r="B320" s="8"/>
      <c r="C320" s="7"/>
      <c r="D320" s="7"/>
      <c r="E320" s="7"/>
      <c r="F320" s="7"/>
    </row>
    <row r="321" spans="1:6">
      <c r="A321" s="7"/>
      <c r="B321" s="8"/>
      <c r="C321" s="7"/>
      <c r="D321" s="7"/>
      <c r="E321" s="7"/>
      <c r="F321" s="7"/>
    </row>
    <row r="322" spans="1:6">
      <c r="A322" s="7"/>
      <c r="B322" s="8"/>
      <c r="C322" s="7"/>
      <c r="D322" s="7"/>
      <c r="E322" s="7"/>
      <c r="F322" s="7"/>
    </row>
    <row r="323" spans="1:6">
      <c r="A323" s="7"/>
      <c r="B323" s="8"/>
      <c r="C323" s="7"/>
      <c r="D323" s="7"/>
      <c r="E323" s="7"/>
      <c r="F323" s="7"/>
    </row>
    <row r="324" spans="1:6">
      <c r="A324" s="7"/>
      <c r="B324" s="8"/>
      <c r="C324" s="7"/>
      <c r="D324" s="7"/>
      <c r="E324" s="7"/>
      <c r="F324" s="7"/>
    </row>
    <row r="325" spans="1:6">
      <c r="A325" s="7"/>
      <c r="B325" s="8"/>
      <c r="C325" s="7"/>
      <c r="D325" s="7"/>
      <c r="E325" s="7"/>
      <c r="F325" s="7"/>
    </row>
    <row r="326" spans="1:6">
      <c r="A326" s="7"/>
      <c r="B326" s="8"/>
      <c r="C326" s="7"/>
      <c r="D326" s="7"/>
      <c r="E326" s="7"/>
      <c r="F326" s="7"/>
    </row>
    <row r="327" spans="1:6">
      <c r="A327" s="7"/>
      <c r="B327" s="8"/>
      <c r="C327" s="7"/>
      <c r="D327" s="7"/>
      <c r="E327" s="7"/>
      <c r="F327" s="7"/>
    </row>
    <row r="328" spans="1:6">
      <c r="A328" s="7"/>
      <c r="B328" s="8"/>
      <c r="C328" s="7"/>
      <c r="D328" s="7"/>
      <c r="E328" s="7"/>
      <c r="F328" s="7"/>
    </row>
    <row r="329" spans="1:6">
      <c r="A329" s="7"/>
      <c r="B329" s="8"/>
      <c r="C329" s="7"/>
      <c r="D329" s="7"/>
      <c r="E329" s="7"/>
      <c r="F329" s="7"/>
    </row>
    <row r="330" spans="1:6">
      <c r="A330" s="7"/>
      <c r="B330" s="8"/>
      <c r="C330" s="7"/>
      <c r="D330" s="7"/>
      <c r="E330" s="7"/>
      <c r="F330" s="7"/>
    </row>
    <row r="331" spans="1:6">
      <c r="A331" s="7"/>
      <c r="B331" s="8"/>
      <c r="C331" s="7"/>
      <c r="D331" s="7"/>
      <c r="E331" s="7"/>
      <c r="F331" s="7"/>
    </row>
    <row r="332" spans="1:6">
      <c r="A332" s="7"/>
      <c r="B332" s="8"/>
      <c r="C332" s="7"/>
      <c r="D332" s="7"/>
      <c r="E332" s="7"/>
      <c r="F332" s="7"/>
    </row>
    <row r="333" spans="1:6">
      <c r="A333" s="7"/>
      <c r="B333" s="8"/>
      <c r="C333" s="7"/>
      <c r="D333" s="7"/>
      <c r="E333" s="7"/>
      <c r="F333" s="7"/>
    </row>
    <row r="334" spans="1:6">
      <c r="A334" s="7"/>
      <c r="B334" s="8"/>
      <c r="C334" s="7"/>
      <c r="D334" s="7"/>
      <c r="E334" s="7"/>
      <c r="F334" s="7"/>
    </row>
    <row r="335" spans="1:6">
      <c r="A335" s="7"/>
      <c r="B335" s="8"/>
      <c r="C335" s="7"/>
      <c r="D335" s="7"/>
      <c r="E335" s="7"/>
      <c r="F335" s="7"/>
    </row>
    <row r="336" spans="1:6">
      <c r="A336" s="7"/>
      <c r="B336" s="8"/>
      <c r="C336" s="7"/>
      <c r="D336" s="7"/>
      <c r="E336" s="7"/>
      <c r="F336" s="7"/>
    </row>
    <row r="337" spans="1:6">
      <c r="A337" s="7"/>
      <c r="B337" s="8"/>
      <c r="C337" s="7"/>
      <c r="D337" s="7"/>
      <c r="E337" s="7"/>
      <c r="F337" s="7"/>
    </row>
    <row r="338" spans="1:6">
      <c r="A338" s="7"/>
      <c r="B338" s="8"/>
      <c r="C338" s="7"/>
      <c r="D338" s="7"/>
      <c r="E338" s="7"/>
      <c r="F338" s="7"/>
    </row>
    <row r="339" spans="1:6">
      <c r="A339" s="7"/>
      <c r="B339" s="8"/>
      <c r="C339" s="7"/>
      <c r="D339" s="7"/>
      <c r="E339" s="7"/>
      <c r="F339" s="7"/>
    </row>
    <row r="340" spans="1:6">
      <c r="A340" s="7"/>
      <c r="B340" s="8"/>
      <c r="C340" s="7"/>
      <c r="D340" s="7"/>
      <c r="E340" s="7"/>
      <c r="F340" s="7"/>
    </row>
    <row r="341" spans="1:6">
      <c r="A341" s="7"/>
      <c r="B341" s="8"/>
      <c r="C341" s="7"/>
      <c r="D341" s="7"/>
      <c r="E341" s="7"/>
      <c r="F341" s="7"/>
    </row>
    <row r="342" spans="1:6">
      <c r="A342" s="7"/>
      <c r="B342" s="8"/>
      <c r="C342" s="7"/>
      <c r="D342" s="7"/>
      <c r="E342" s="7"/>
      <c r="F342" s="7"/>
    </row>
    <row r="343" spans="1:6">
      <c r="A343" s="7"/>
      <c r="B343" s="8"/>
      <c r="C343" s="7"/>
      <c r="D343" s="7"/>
      <c r="E343" s="7"/>
      <c r="F343" s="7"/>
    </row>
    <row r="344" spans="1:6">
      <c r="A344" s="7"/>
      <c r="B344" s="8"/>
      <c r="C344" s="7"/>
      <c r="D344" s="7"/>
      <c r="E344" s="7"/>
      <c r="F344" s="7"/>
    </row>
    <row r="345" spans="1:6">
      <c r="A345" s="7"/>
      <c r="B345" s="8"/>
      <c r="C345" s="7"/>
      <c r="D345" s="7"/>
      <c r="E345" s="7"/>
      <c r="F345" s="7"/>
    </row>
    <row r="346" spans="1:6">
      <c r="A346" s="7"/>
      <c r="B346" s="8"/>
      <c r="C346" s="7"/>
      <c r="D346" s="7"/>
      <c r="E346" s="7"/>
      <c r="F346" s="7"/>
    </row>
    <row r="347" spans="1:6">
      <c r="A347" s="7"/>
      <c r="B347" s="8"/>
      <c r="C347" s="7"/>
      <c r="D347" s="7"/>
      <c r="E347" s="7"/>
      <c r="F347" s="7"/>
    </row>
    <row r="348" spans="1:6">
      <c r="A348" s="7"/>
      <c r="B348" s="8"/>
      <c r="C348" s="7"/>
      <c r="D348" s="7"/>
      <c r="E348" s="7"/>
      <c r="F348" s="7"/>
    </row>
    <row r="349" spans="1:6">
      <c r="A349" s="7"/>
      <c r="B349" s="8"/>
      <c r="C349" s="7"/>
      <c r="D349" s="7"/>
      <c r="E349" s="7"/>
      <c r="F349" s="7"/>
    </row>
    <row r="350" spans="1:6">
      <c r="A350" s="7"/>
      <c r="B350" s="8"/>
      <c r="C350" s="7"/>
      <c r="D350" s="7"/>
      <c r="E350" s="7"/>
      <c r="F350" s="7"/>
    </row>
    <row r="351" spans="1:6">
      <c r="A351" s="7"/>
      <c r="B351" s="8"/>
      <c r="C351" s="7"/>
      <c r="D351" s="7"/>
      <c r="E351" s="7"/>
      <c r="F351" s="7"/>
    </row>
    <row r="352" spans="1:6">
      <c r="A352" s="7"/>
      <c r="B352" s="8"/>
      <c r="C352" s="7"/>
      <c r="D352" s="7"/>
      <c r="E352" s="7"/>
      <c r="F352" s="7"/>
    </row>
    <row r="353" spans="1:6">
      <c r="A353" s="7"/>
      <c r="B353" s="8"/>
      <c r="C353" s="7"/>
      <c r="D353" s="7"/>
      <c r="E353" s="7"/>
      <c r="F353" s="7"/>
    </row>
    <row r="354" spans="1:6">
      <c r="A354" s="7"/>
      <c r="B354" s="8"/>
      <c r="C354" s="7"/>
      <c r="D354" s="7"/>
      <c r="E354" s="7"/>
      <c r="F354" s="7"/>
    </row>
    <row r="355" spans="1:6">
      <c r="A355" s="7"/>
      <c r="B355" s="8"/>
      <c r="C355" s="7"/>
      <c r="D355" s="7"/>
      <c r="E355" s="7"/>
      <c r="F355" s="7"/>
    </row>
    <row r="356" spans="1:6">
      <c r="A356" s="7"/>
      <c r="B356" s="8"/>
      <c r="C356" s="7"/>
      <c r="D356" s="7"/>
      <c r="E356" s="7"/>
      <c r="F356" s="7"/>
    </row>
    <row r="357" spans="1:6">
      <c r="A357" s="7"/>
      <c r="B357" s="8"/>
      <c r="C357" s="7"/>
      <c r="D357" s="7"/>
      <c r="E357" s="7"/>
      <c r="F357" s="7"/>
    </row>
    <row r="358" spans="1:6">
      <c r="A358" s="7"/>
      <c r="B358" s="8"/>
      <c r="C358" s="7"/>
      <c r="D358" s="7"/>
      <c r="E358" s="7"/>
      <c r="F358" s="7"/>
    </row>
    <row r="359" spans="1:6">
      <c r="A359" s="7"/>
      <c r="B359" s="8"/>
      <c r="C359" s="7"/>
      <c r="D359" s="7"/>
      <c r="E359" s="7"/>
      <c r="F359" s="7"/>
    </row>
    <row r="360" spans="1:6">
      <c r="A360" s="7"/>
      <c r="B360" s="8"/>
      <c r="C360" s="7"/>
      <c r="D360" s="7"/>
      <c r="E360" s="7"/>
      <c r="F360" s="7"/>
    </row>
    <row r="361" spans="1:6">
      <c r="A361" s="7"/>
      <c r="B361" s="8"/>
      <c r="C361" s="7"/>
      <c r="D361" s="7"/>
      <c r="E361" s="7"/>
      <c r="F361" s="7"/>
    </row>
    <row r="362" spans="1:6">
      <c r="A362" s="7"/>
      <c r="B362" s="8"/>
      <c r="C362" s="7"/>
      <c r="D362" s="7"/>
      <c r="E362" s="7"/>
      <c r="F362" s="7"/>
    </row>
    <row r="363" spans="1:6">
      <c r="A363" s="7"/>
      <c r="B363" s="8"/>
      <c r="C363" s="7"/>
      <c r="D363" s="7"/>
      <c r="E363" s="7"/>
      <c r="F363" s="7"/>
    </row>
    <row r="364" spans="1:6">
      <c r="A364" s="7"/>
      <c r="B364" s="8"/>
      <c r="C364" s="7"/>
      <c r="D364" s="7"/>
      <c r="E364" s="7"/>
      <c r="F364" s="7"/>
    </row>
    <row r="365" spans="1:6">
      <c r="A365" s="7"/>
      <c r="B365" s="8"/>
      <c r="C365" s="7"/>
      <c r="D365" s="7"/>
      <c r="E365" s="7"/>
      <c r="F365" s="7"/>
    </row>
    <row r="366" spans="1:6">
      <c r="A366" s="7"/>
      <c r="B366" s="8"/>
      <c r="C366" s="7"/>
      <c r="D366" s="7"/>
      <c r="E366" s="7"/>
      <c r="F366" s="7"/>
    </row>
    <row r="367" spans="1:6">
      <c r="A367" s="7"/>
      <c r="B367" s="8"/>
      <c r="C367" s="7"/>
      <c r="D367" s="7"/>
      <c r="E367" s="7"/>
      <c r="F367" s="7"/>
    </row>
    <row r="368" spans="1:6">
      <c r="A368" s="7"/>
      <c r="B368" s="8"/>
      <c r="C368" s="7"/>
      <c r="D368" s="7"/>
      <c r="E368" s="7"/>
      <c r="F368" s="7"/>
    </row>
    <row r="369" spans="1:6">
      <c r="A369" s="7"/>
      <c r="B369" s="8"/>
      <c r="C369" s="7"/>
      <c r="D369" s="7"/>
      <c r="E369" s="7"/>
      <c r="F369" s="7"/>
    </row>
    <row r="370" spans="1:6">
      <c r="A370" s="7"/>
      <c r="B370" s="8"/>
      <c r="C370" s="7"/>
      <c r="D370" s="7"/>
      <c r="E370" s="7"/>
      <c r="F370" s="7"/>
    </row>
    <row r="371" spans="1:6">
      <c r="A371" s="7"/>
      <c r="B371" s="8"/>
      <c r="C371" s="7"/>
      <c r="D371" s="7"/>
      <c r="E371" s="7"/>
      <c r="F371" s="7"/>
    </row>
    <row r="372" spans="1:6">
      <c r="A372" s="7"/>
      <c r="B372" s="8"/>
      <c r="C372" s="7"/>
      <c r="D372" s="7"/>
      <c r="E372" s="7"/>
      <c r="F372" s="7"/>
    </row>
    <row r="373" spans="1:6">
      <c r="A373" s="7"/>
      <c r="B373" s="8"/>
      <c r="C373" s="7"/>
      <c r="D373" s="7"/>
      <c r="E373" s="7"/>
      <c r="F373" s="7"/>
    </row>
    <row r="374" spans="1:6">
      <c r="A374" s="7"/>
      <c r="B374" s="8"/>
      <c r="C374" s="7"/>
      <c r="D374" s="7"/>
      <c r="E374" s="7"/>
      <c r="F374" s="7"/>
    </row>
    <row r="375" spans="1:6">
      <c r="A375" s="7"/>
      <c r="B375" s="8"/>
      <c r="C375" s="7"/>
      <c r="D375" s="7"/>
      <c r="E375" s="7"/>
      <c r="F375" s="7"/>
    </row>
    <row r="376" spans="1:6">
      <c r="A376" s="7"/>
      <c r="B376" s="8"/>
      <c r="C376" s="7"/>
      <c r="D376" s="7"/>
      <c r="E376" s="7"/>
      <c r="F376" s="7"/>
    </row>
    <row r="377" spans="1:6">
      <c r="A377" s="7"/>
      <c r="B377" s="8"/>
      <c r="C377" s="7"/>
      <c r="D377" s="7"/>
      <c r="E377" s="7"/>
      <c r="F377" s="7"/>
    </row>
    <row r="378" spans="1:6">
      <c r="A378" s="7"/>
      <c r="B378" s="8"/>
      <c r="C378" s="7"/>
      <c r="D378" s="7"/>
      <c r="E378" s="7"/>
      <c r="F378" s="7"/>
    </row>
    <row r="379" spans="1:6">
      <c r="A379" s="7"/>
      <c r="B379" s="8"/>
      <c r="C379" s="7"/>
      <c r="D379" s="7"/>
      <c r="E379" s="7"/>
      <c r="F379" s="7"/>
    </row>
    <row r="380" spans="1:6">
      <c r="A380" s="7"/>
      <c r="B380" s="8"/>
      <c r="C380" s="7"/>
      <c r="D380" s="7"/>
      <c r="E380" s="7"/>
      <c r="F380" s="7"/>
    </row>
    <row r="381" spans="1:6">
      <c r="A381" s="7"/>
      <c r="B381" s="8"/>
      <c r="C381" s="7"/>
      <c r="D381" s="7"/>
      <c r="E381" s="7"/>
      <c r="F381" s="7"/>
    </row>
    <row r="382" spans="1:6">
      <c r="A382" s="7"/>
      <c r="B382" s="8"/>
      <c r="C382" s="7"/>
      <c r="D382" s="7"/>
      <c r="E382" s="7"/>
      <c r="F382" s="7"/>
    </row>
    <row r="383" spans="1:6">
      <c r="A383" s="7"/>
      <c r="B383" s="8"/>
      <c r="C383" s="7"/>
      <c r="D383" s="7"/>
      <c r="E383" s="7"/>
      <c r="F383" s="7"/>
    </row>
    <row r="384" spans="1:6">
      <c r="A384" s="7"/>
      <c r="B384" s="8"/>
      <c r="C384" s="7"/>
      <c r="D384" s="7"/>
      <c r="E384" s="7"/>
      <c r="F384" s="7"/>
    </row>
    <row r="385" spans="1:6">
      <c r="A385" s="7"/>
      <c r="B385" s="8"/>
      <c r="C385" s="7"/>
      <c r="D385" s="7"/>
      <c r="E385" s="7"/>
      <c r="F385" s="7"/>
    </row>
    <row r="386" spans="1:6">
      <c r="A386" s="7"/>
      <c r="B386" s="8"/>
      <c r="C386" s="7"/>
      <c r="D386" s="7"/>
      <c r="E386" s="7"/>
      <c r="F386" s="7"/>
    </row>
    <row r="387" spans="1:6">
      <c r="A387" s="7"/>
      <c r="B387" s="8"/>
      <c r="C387" s="7"/>
      <c r="D387" s="7"/>
      <c r="E387" s="7"/>
      <c r="F387" s="7"/>
    </row>
    <row r="388" spans="1:6">
      <c r="A388" s="7"/>
      <c r="B388" s="8"/>
      <c r="C388" s="7"/>
      <c r="D388" s="7"/>
      <c r="E388" s="7"/>
      <c r="F388" s="7"/>
    </row>
    <row r="389" spans="1:6">
      <c r="A389" s="7"/>
      <c r="B389" s="8"/>
      <c r="C389" s="7"/>
      <c r="D389" s="7"/>
      <c r="E389" s="7"/>
      <c r="F389" s="7"/>
    </row>
    <row r="390" spans="1:6">
      <c r="A390" s="7"/>
      <c r="B390" s="8"/>
      <c r="C390" s="7"/>
      <c r="D390" s="7"/>
      <c r="E390" s="7"/>
      <c r="F390" s="7"/>
    </row>
    <row r="391" spans="1:6">
      <c r="A391" s="7"/>
      <c r="B391" s="8"/>
      <c r="C391" s="7"/>
      <c r="D391" s="7"/>
      <c r="E391" s="7"/>
      <c r="F391" s="7"/>
    </row>
    <row r="392" spans="1:6">
      <c r="A392" s="7"/>
      <c r="B392" s="8"/>
      <c r="C392" s="7"/>
      <c r="D392" s="7"/>
      <c r="E392" s="7"/>
      <c r="F392" s="7"/>
    </row>
    <row r="393" spans="1:6">
      <c r="A393" s="7"/>
      <c r="B393" s="8"/>
      <c r="C393" s="7"/>
      <c r="D393" s="7"/>
      <c r="E393" s="7"/>
      <c r="F393" s="7"/>
    </row>
    <row r="394" spans="1:6">
      <c r="A394" s="7"/>
      <c r="B394" s="8"/>
      <c r="C394" s="7"/>
      <c r="D394" s="7"/>
      <c r="E394" s="7"/>
      <c r="F394" s="7"/>
    </row>
    <row r="395" spans="1:6">
      <c r="A395" s="7"/>
      <c r="B395" s="8"/>
      <c r="C395" s="7"/>
      <c r="D395" s="7"/>
      <c r="E395" s="7"/>
      <c r="F395" s="7"/>
    </row>
    <row r="396" spans="1:6">
      <c r="A396" s="7"/>
      <c r="B396" s="8"/>
      <c r="C396" s="7"/>
      <c r="D396" s="7"/>
      <c r="E396" s="7"/>
      <c r="F396" s="7"/>
    </row>
    <row r="397" spans="1:6">
      <c r="A397" s="7"/>
      <c r="B397" s="8"/>
      <c r="C397" s="7"/>
      <c r="D397" s="7"/>
      <c r="E397" s="7"/>
      <c r="F397" s="7"/>
    </row>
    <row r="398" spans="1:6">
      <c r="A398" s="7"/>
      <c r="B398" s="8"/>
      <c r="C398" s="7"/>
      <c r="D398" s="7"/>
      <c r="E398" s="7"/>
      <c r="F398" s="7"/>
    </row>
    <row r="399" spans="1:6">
      <c r="A399" s="7"/>
      <c r="B399" s="8"/>
      <c r="C399" s="7"/>
      <c r="D399" s="7"/>
      <c r="E399" s="7"/>
      <c r="F399" s="7"/>
    </row>
    <row r="400" spans="1:6">
      <c r="A400" s="7"/>
      <c r="B400" s="8"/>
      <c r="C400" s="7"/>
      <c r="D400" s="7"/>
      <c r="E400" s="7"/>
      <c r="F400" s="7"/>
    </row>
    <row r="401" spans="1:6">
      <c r="A401" s="7"/>
      <c r="B401" s="8"/>
      <c r="C401" s="7"/>
      <c r="D401" s="7"/>
      <c r="E401" s="7"/>
      <c r="F401" s="7"/>
    </row>
    <row r="402" spans="1:6">
      <c r="A402" s="7"/>
      <c r="B402" s="8"/>
      <c r="C402" s="7"/>
      <c r="D402" s="7"/>
      <c r="E402" s="7"/>
      <c r="F402" s="7"/>
    </row>
    <row r="403" spans="1:6">
      <c r="A403" s="7"/>
      <c r="B403" s="8"/>
      <c r="C403" s="7"/>
      <c r="D403" s="7"/>
      <c r="E403" s="7"/>
      <c r="F403" s="7"/>
    </row>
    <row r="404" spans="1:6">
      <c r="A404" s="7"/>
      <c r="B404" s="8"/>
      <c r="C404" s="7"/>
      <c r="D404" s="7"/>
      <c r="E404" s="7"/>
      <c r="F404" s="7"/>
    </row>
    <row r="405" spans="1:6">
      <c r="A405" s="7"/>
      <c r="B405" s="8"/>
      <c r="C405" s="7"/>
      <c r="D405" s="7"/>
      <c r="E405" s="7"/>
      <c r="F405" s="7"/>
    </row>
    <row r="406" spans="1:6">
      <c r="A406" s="7"/>
      <c r="B406" s="8"/>
      <c r="C406" s="7"/>
      <c r="D406" s="7"/>
      <c r="E406" s="7"/>
      <c r="F406" s="7"/>
    </row>
    <row r="407" spans="1:6">
      <c r="A407" s="7"/>
      <c r="B407" s="8"/>
      <c r="C407" s="7"/>
      <c r="D407" s="7"/>
      <c r="E407" s="7"/>
      <c r="F407" s="7"/>
    </row>
    <row r="408" spans="1:6">
      <c r="A408" s="7"/>
      <c r="B408" s="8"/>
      <c r="C408" s="7"/>
      <c r="D408" s="7"/>
      <c r="E408" s="7"/>
      <c r="F408" s="7"/>
    </row>
    <row r="409" spans="1:6">
      <c r="A409" s="7"/>
      <c r="B409" s="8"/>
      <c r="C409" s="7"/>
      <c r="D409" s="7"/>
      <c r="E409" s="7"/>
      <c r="F409" s="7"/>
    </row>
    <row r="410" spans="1:6">
      <c r="A410" s="7"/>
      <c r="B410" s="8"/>
      <c r="C410" s="7"/>
      <c r="D410" s="7"/>
      <c r="E410" s="7"/>
      <c r="F410" s="7"/>
    </row>
    <row r="411" spans="1:6">
      <c r="A411" s="7"/>
      <c r="B411" s="8"/>
      <c r="C411" s="7"/>
      <c r="D411" s="7"/>
      <c r="E411" s="7"/>
      <c r="F411" s="7"/>
    </row>
    <row r="412" spans="1:6">
      <c r="A412" s="7"/>
      <c r="B412" s="8"/>
      <c r="C412" s="7"/>
      <c r="D412" s="7"/>
      <c r="E412" s="7"/>
      <c r="F412" s="7"/>
    </row>
    <row r="413" spans="1:6">
      <c r="A413" s="7"/>
      <c r="B413" s="8"/>
      <c r="C413" s="7"/>
      <c r="D413" s="7"/>
      <c r="E413" s="7"/>
      <c r="F413" s="7"/>
    </row>
    <row r="414" spans="1:6">
      <c r="A414" s="7"/>
      <c r="B414" s="8"/>
      <c r="C414" s="7"/>
      <c r="D414" s="7"/>
      <c r="E414" s="7"/>
      <c r="F414" s="7"/>
    </row>
    <row r="415" spans="1:6">
      <c r="A415" s="7"/>
      <c r="B415" s="8"/>
      <c r="C415" s="7"/>
      <c r="D415" s="7"/>
      <c r="E415" s="7"/>
      <c r="F415" s="7"/>
    </row>
    <row r="416" spans="1:6">
      <c r="A416" s="7"/>
      <c r="B416" s="8"/>
      <c r="C416" s="7"/>
      <c r="D416" s="7"/>
      <c r="E416" s="7"/>
      <c r="F416" s="7"/>
    </row>
    <row r="417" spans="1:6">
      <c r="A417" s="7"/>
      <c r="B417" s="8"/>
      <c r="C417" s="7"/>
      <c r="D417" s="7"/>
      <c r="E417" s="7"/>
      <c r="F417" s="7"/>
    </row>
    <row r="418" spans="1:6">
      <c r="A418" s="7"/>
      <c r="B418" s="8"/>
      <c r="C418" s="7"/>
      <c r="D418" s="7"/>
      <c r="E418" s="7"/>
      <c r="F418" s="7"/>
    </row>
    <row r="419" spans="1:6">
      <c r="A419" s="7"/>
      <c r="B419" s="8"/>
      <c r="C419" s="7"/>
      <c r="D419" s="7"/>
      <c r="E419" s="7"/>
      <c r="F419" s="7"/>
    </row>
    <row r="420" spans="1:6">
      <c r="A420" s="7"/>
      <c r="B420" s="8"/>
      <c r="C420" s="7"/>
      <c r="D420" s="7"/>
      <c r="E420" s="7"/>
      <c r="F420" s="7"/>
    </row>
    <row r="421" spans="1:6">
      <c r="A421" s="7"/>
      <c r="B421" s="8"/>
      <c r="C421" s="7"/>
      <c r="D421" s="7"/>
      <c r="E421" s="7"/>
      <c r="F421" s="7"/>
    </row>
    <row r="422" spans="1:6">
      <c r="A422" s="7"/>
      <c r="B422" s="8"/>
      <c r="C422" s="7"/>
      <c r="D422" s="7"/>
      <c r="E422" s="7"/>
      <c r="F422" s="7"/>
    </row>
    <row r="423" spans="1:6">
      <c r="A423" s="7"/>
      <c r="B423" s="8"/>
      <c r="C423" s="7"/>
      <c r="D423" s="7"/>
      <c r="E423" s="7"/>
      <c r="F423" s="7"/>
    </row>
    <row r="424" spans="1:6">
      <c r="A424" s="7"/>
      <c r="B424" s="8"/>
      <c r="C424" s="7"/>
      <c r="D424" s="7"/>
      <c r="E424" s="7"/>
      <c r="F424" s="7"/>
    </row>
    <row r="425" spans="1:6">
      <c r="A425" s="7"/>
      <c r="B425" s="8"/>
      <c r="C425" s="7"/>
      <c r="D425" s="7"/>
      <c r="E425" s="7"/>
      <c r="F425" s="7"/>
    </row>
    <row r="426" spans="1:6">
      <c r="A426" s="7"/>
      <c r="B426" s="8"/>
      <c r="C426" s="7"/>
      <c r="D426" s="7"/>
      <c r="E426" s="7"/>
      <c r="F426" s="7"/>
    </row>
    <row r="427" spans="1:6">
      <c r="A427" s="7"/>
      <c r="B427" s="8"/>
      <c r="C427" s="7"/>
      <c r="D427" s="7"/>
      <c r="E427" s="7"/>
      <c r="F427" s="7"/>
    </row>
    <row r="428" spans="1:6">
      <c r="A428" s="7"/>
      <c r="B428" s="8"/>
      <c r="C428" s="7"/>
      <c r="D428" s="7"/>
      <c r="E428" s="7"/>
      <c r="F428" s="7"/>
    </row>
    <row r="429" spans="1:6">
      <c r="A429" s="7"/>
      <c r="B429" s="8"/>
      <c r="C429" s="7"/>
      <c r="D429" s="7"/>
      <c r="E429" s="7"/>
      <c r="F429" s="7"/>
    </row>
    <row r="430" spans="1:6">
      <c r="A430" s="7"/>
      <c r="B430" s="8"/>
      <c r="C430" s="7"/>
      <c r="D430" s="7"/>
      <c r="E430" s="7"/>
      <c r="F430" s="7"/>
    </row>
    <row r="431" spans="1:6">
      <c r="A431" s="7"/>
      <c r="B431" s="8"/>
      <c r="C431" s="7"/>
      <c r="D431" s="7"/>
      <c r="E431" s="7"/>
      <c r="F431" s="7"/>
    </row>
    <row r="432" spans="1:6">
      <c r="A432" s="7"/>
      <c r="B432" s="8"/>
      <c r="C432" s="7"/>
      <c r="D432" s="7"/>
      <c r="E432" s="7"/>
      <c r="F432" s="7"/>
    </row>
    <row r="433" spans="1:6">
      <c r="A433" s="7"/>
      <c r="B433" s="8"/>
      <c r="C433" s="7"/>
      <c r="D433" s="7"/>
      <c r="E433" s="7"/>
      <c r="F433" s="7"/>
    </row>
    <row r="434" spans="1:6">
      <c r="A434" s="7"/>
      <c r="B434" s="8"/>
      <c r="C434" s="7"/>
      <c r="D434" s="7"/>
      <c r="E434" s="7"/>
      <c r="F434" s="7"/>
    </row>
    <row r="435" spans="1:6">
      <c r="A435" s="7"/>
      <c r="B435" s="8"/>
      <c r="C435" s="7"/>
      <c r="D435" s="7"/>
      <c r="E435" s="7"/>
      <c r="F435" s="7"/>
    </row>
    <row r="436" spans="1:6">
      <c r="A436" s="7"/>
      <c r="B436" s="8"/>
      <c r="C436" s="7"/>
      <c r="D436" s="7"/>
      <c r="E436" s="7"/>
      <c r="F436" s="7"/>
    </row>
    <row r="437" spans="1:6">
      <c r="A437" s="7"/>
      <c r="B437" s="8"/>
      <c r="C437" s="7"/>
      <c r="D437" s="7"/>
      <c r="E437" s="7"/>
      <c r="F437" s="7"/>
    </row>
    <row r="438" spans="1:6">
      <c r="A438" s="7"/>
      <c r="B438" s="8"/>
      <c r="C438" s="7"/>
      <c r="D438" s="7"/>
      <c r="E438" s="7"/>
      <c r="F438" s="7"/>
    </row>
    <row r="439" spans="1:6">
      <c r="A439" s="7"/>
      <c r="B439" s="8"/>
      <c r="C439" s="7"/>
      <c r="D439" s="7"/>
      <c r="E439" s="7"/>
      <c r="F439" s="7"/>
    </row>
    <row r="440" spans="1:6">
      <c r="A440" s="7"/>
      <c r="B440" s="8"/>
      <c r="C440" s="7"/>
      <c r="D440" s="7"/>
      <c r="E440" s="7"/>
      <c r="F440" s="7"/>
    </row>
    <row r="441" spans="1:6">
      <c r="A441" s="7"/>
      <c r="B441" s="8"/>
      <c r="C441" s="7"/>
      <c r="D441" s="7"/>
      <c r="E441" s="7"/>
      <c r="F441" s="7"/>
    </row>
    <row r="442" spans="1:6">
      <c r="A442" s="7"/>
      <c r="B442" s="8"/>
      <c r="C442" s="7"/>
      <c r="D442" s="7"/>
      <c r="E442" s="7"/>
      <c r="F442" s="7"/>
    </row>
    <row r="443" spans="1:6">
      <c r="A443" s="7"/>
      <c r="B443" s="8"/>
      <c r="C443" s="7"/>
      <c r="D443" s="7"/>
      <c r="E443" s="7"/>
      <c r="F443" s="7"/>
    </row>
    <row r="444" spans="1:6">
      <c r="A444" s="7"/>
      <c r="B444" s="8"/>
      <c r="C444" s="7"/>
      <c r="D444" s="7"/>
      <c r="E444" s="7"/>
      <c r="F444" s="7"/>
    </row>
    <row r="445" spans="1:6">
      <c r="A445" s="7"/>
      <c r="B445" s="8"/>
      <c r="C445" s="7"/>
      <c r="D445" s="7"/>
      <c r="E445" s="7"/>
      <c r="F445" s="7"/>
    </row>
    <row r="446" spans="1:6">
      <c r="A446" s="7"/>
      <c r="B446" s="8"/>
      <c r="C446" s="7"/>
      <c r="D446" s="7"/>
      <c r="E446" s="7"/>
      <c r="F446" s="7"/>
    </row>
    <row r="447" spans="1:6">
      <c r="A447" s="7"/>
      <c r="B447" s="8"/>
      <c r="C447" s="7"/>
      <c r="D447" s="7"/>
      <c r="E447" s="7"/>
      <c r="F447" s="7"/>
    </row>
    <row r="448" spans="1:6">
      <c r="A448" s="7"/>
      <c r="B448" s="8"/>
      <c r="C448" s="7"/>
      <c r="D448" s="7"/>
      <c r="E448" s="7"/>
      <c r="F448" s="7"/>
    </row>
    <row r="449" spans="1:6">
      <c r="A449" s="7"/>
      <c r="B449" s="8"/>
      <c r="C449" s="7"/>
      <c r="D449" s="7"/>
      <c r="E449" s="7"/>
      <c r="F449" s="7"/>
    </row>
    <row r="450" spans="1:6">
      <c r="A450" s="7"/>
      <c r="B450" s="8"/>
      <c r="C450" s="7"/>
      <c r="D450" s="7"/>
      <c r="E450" s="7"/>
      <c r="F450" s="7"/>
    </row>
    <row r="451" spans="1:6">
      <c r="A451" s="7"/>
      <c r="B451" s="8"/>
      <c r="C451" s="7"/>
      <c r="D451" s="7"/>
      <c r="E451" s="7"/>
      <c r="F451" s="7"/>
    </row>
    <row r="452" spans="1:6">
      <c r="A452" s="7"/>
      <c r="B452" s="8"/>
      <c r="C452" s="7"/>
      <c r="D452" s="7"/>
      <c r="E452" s="7"/>
      <c r="F452" s="7"/>
    </row>
    <row r="453" spans="1:6">
      <c r="A453" s="7"/>
      <c r="B453" s="8"/>
      <c r="C453" s="7"/>
      <c r="D453" s="7"/>
      <c r="E453" s="7"/>
      <c r="F453" s="7"/>
    </row>
    <row r="454" spans="1:6">
      <c r="A454" s="7"/>
      <c r="B454" s="8"/>
      <c r="C454" s="7"/>
      <c r="D454" s="7"/>
      <c r="E454" s="7"/>
      <c r="F454" s="7"/>
    </row>
    <row r="455" spans="1:6">
      <c r="A455" s="7"/>
      <c r="B455" s="8"/>
      <c r="C455" s="7"/>
      <c r="D455" s="7"/>
      <c r="E455" s="7"/>
      <c r="F455" s="7"/>
    </row>
    <row r="456" spans="1:6">
      <c r="A456" s="7"/>
      <c r="B456" s="8"/>
      <c r="C456" s="7"/>
      <c r="D456" s="7"/>
      <c r="E456" s="7"/>
      <c r="F456" s="7"/>
    </row>
    <row r="457" spans="1:6">
      <c r="A457" s="7"/>
      <c r="B457" s="8"/>
      <c r="C457" s="7"/>
      <c r="D457" s="7"/>
      <c r="E457" s="7"/>
      <c r="F457" s="7"/>
    </row>
    <row r="458" spans="1:6">
      <c r="A458" s="7"/>
      <c r="B458" s="8"/>
      <c r="C458" s="7"/>
      <c r="D458" s="7"/>
      <c r="E458" s="7"/>
      <c r="F458" s="7"/>
    </row>
    <row r="459" spans="1:6">
      <c r="A459" s="7"/>
      <c r="B459" s="8"/>
      <c r="C459" s="7"/>
      <c r="D459" s="7"/>
      <c r="E459" s="7"/>
      <c r="F459" s="7"/>
    </row>
    <row r="460" spans="1:6">
      <c r="A460" s="7"/>
      <c r="B460" s="8"/>
      <c r="C460" s="7"/>
      <c r="D460" s="7"/>
      <c r="E460" s="7"/>
      <c r="F460" s="7"/>
    </row>
    <row r="461" spans="1:6">
      <c r="A461" s="7"/>
      <c r="B461" s="8"/>
      <c r="C461" s="7"/>
      <c r="D461" s="7"/>
      <c r="E461" s="7"/>
      <c r="F461" s="7"/>
    </row>
    <row r="462" spans="1:6">
      <c r="A462" s="7"/>
      <c r="B462" s="8"/>
      <c r="C462" s="7"/>
      <c r="D462" s="7"/>
      <c r="E462" s="7"/>
      <c r="F462" s="7"/>
    </row>
    <row r="463" spans="1:6">
      <c r="A463" s="7"/>
      <c r="B463" s="8"/>
      <c r="C463" s="7"/>
      <c r="D463" s="7"/>
      <c r="E463" s="7"/>
      <c r="F463" s="7"/>
    </row>
    <row r="464" spans="1:6">
      <c r="A464" s="7"/>
      <c r="B464" s="8"/>
      <c r="C464" s="7"/>
      <c r="D464" s="7"/>
      <c r="E464" s="7"/>
      <c r="F464" s="7"/>
    </row>
    <row r="465" spans="1:6">
      <c r="A465" s="7"/>
      <c r="B465" s="8"/>
      <c r="C465" s="7"/>
      <c r="D465" s="7"/>
      <c r="E465" s="7"/>
      <c r="F465" s="7"/>
    </row>
    <row r="466" spans="1:6">
      <c r="A466" s="7"/>
      <c r="B466" s="8"/>
      <c r="C466" s="7"/>
      <c r="D466" s="7"/>
      <c r="E466" s="7"/>
      <c r="F466" s="7"/>
    </row>
    <row r="467" spans="1:6">
      <c r="A467" s="7"/>
      <c r="B467" s="8"/>
      <c r="C467" s="7"/>
      <c r="D467" s="7"/>
      <c r="E467" s="7"/>
      <c r="F467" s="7"/>
    </row>
    <row r="468" spans="1:6">
      <c r="A468" s="7"/>
      <c r="B468" s="8"/>
      <c r="C468" s="7"/>
      <c r="D468" s="7"/>
      <c r="E468" s="7"/>
      <c r="F468" s="7"/>
    </row>
    <row r="469" spans="1:6">
      <c r="A469" s="7"/>
      <c r="B469" s="8"/>
      <c r="C469" s="7"/>
      <c r="D469" s="7"/>
      <c r="E469" s="7"/>
      <c r="F469" s="7"/>
    </row>
    <row r="470" spans="1:6">
      <c r="A470" s="7"/>
      <c r="B470" s="8"/>
      <c r="C470" s="7"/>
      <c r="D470" s="7"/>
      <c r="E470" s="7"/>
      <c r="F470" s="7"/>
    </row>
    <row r="471" spans="1:6">
      <c r="A471" s="7"/>
      <c r="B471" s="8"/>
      <c r="C471" s="7"/>
      <c r="D471" s="7"/>
      <c r="E471" s="7"/>
      <c r="F471" s="7"/>
    </row>
    <row r="472" spans="1:6">
      <c r="A472" s="7"/>
      <c r="B472" s="8"/>
      <c r="C472" s="7"/>
      <c r="D472" s="7"/>
      <c r="E472" s="7"/>
      <c r="F472" s="7"/>
    </row>
    <row r="473" spans="1:6">
      <c r="A473" s="7"/>
      <c r="B473" s="8"/>
      <c r="C473" s="7"/>
      <c r="D473" s="7"/>
      <c r="E473" s="7"/>
      <c r="F473" s="7"/>
    </row>
    <row r="474" spans="1:6">
      <c r="A474" s="7"/>
      <c r="B474" s="8"/>
      <c r="C474" s="7"/>
      <c r="D474" s="7"/>
      <c r="E474" s="7"/>
      <c r="F474" s="7"/>
    </row>
    <row r="475" spans="1:6">
      <c r="A475" s="7"/>
      <c r="B475" s="8"/>
      <c r="C475" s="7"/>
      <c r="D475" s="7"/>
      <c r="E475" s="7"/>
      <c r="F475" s="7"/>
    </row>
    <row r="476" spans="1:6">
      <c r="A476" s="7"/>
      <c r="B476" s="8"/>
      <c r="C476" s="7"/>
      <c r="D476" s="7"/>
      <c r="E476" s="7"/>
      <c r="F476" s="7"/>
    </row>
    <row r="477" spans="1:6">
      <c r="A477" s="7"/>
      <c r="B477" s="8"/>
      <c r="C477" s="7"/>
      <c r="D477" s="7"/>
      <c r="E477" s="7"/>
      <c r="F477" s="7"/>
    </row>
    <row r="478" spans="1:6">
      <c r="A478" s="7"/>
      <c r="B478" s="8"/>
      <c r="C478" s="7"/>
      <c r="D478" s="7"/>
      <c r="E478" s="7"/>
      <c r="F478" s="7"/>
    </row>
    <row r="479" spans="1:6">
      <c r="A479" s="7"/>
      <c r="B479" s="8"/>
      <c r="C479" s="7"/>
      <c r="D479" s="7"/>
      <c r="E479" s="7"/>
      <c r="F479" s="7"/>
    </row>
    <row r="480" spans="1:6">
      <c r="A480" s="7"/>
      <c r="B480" s="8"/>
      <c r="C480" s="7"/>
      <c r="D480" s="7"/>
      <c r="E480" s="7"/>
      <c r="F480" s="7"/>
    </row>
    <row r="481" spans="1:6">
      <c r="A481" s="7"/>
      <c r="B481" s="8"/>
      <c r="C481" s="7"/>
      <c r="D481" s="7"/>
      <c r="E481" s="7"/>
      <c r="F481" s="7"/>
    </row>
    <row r="482" spans="1:6">
      <c r="A482" s="7"/>
      <c r="B482" s="8"/>
      <c r="C482" s="7"/>
      <c r="D482" s="7"/>
      <c r="E482" s="7"/>
      <c r="F482" s="7"/>
    </row>
    <row r="483" spans="1:6">
      <c r="A483" s="7"/>
      <c r="B483" s="8"/>
      <c r="C483" s="7"/>
      <c r="D483" s="7"/>
      <c r="E483" s="7"/>
      <c r="F483" s="7"/>
    </row>
    <row r="484" spans="1:6">
      <c r="A484" s="7"/>
      <c r="B484" s="8"/>
      <c r="C484" s="7"/>
      <c r="D484" s="7"/>
      <c r="E484" s="7"/>
      <c r="F484" s="7"/>
    </row>
    <row r="485" spans="1:6">
      <c r="A485" s="7"/>
      <c r="B485" s="8"/>
      <c r="C485" s="7"/>
      <c r="D485" s="7"/>
      <c r="E485" s="7"/>
      <c r="F485" s="7"/>
    </row>
    <row r="486" spans="1:6">
      <c r="A486" s="7"/>
      <c r="B486" s="8"/>
      <c r="C486" s="7"/>
      <c r="D486" s="7"/>
      <c r="E486" s="7"/>
      <c r="F486" s="7"/>
    </row>
    <row r="487" spans="1:6">
      <c r="A487" s="7"/>
      <c r="B487" s="8"/>
      <c r="C487" s="7"/>
      <c r="D487" s="7"/>
      <c r="E487" s="7"/>
      <c r="F487" s="7"/>
    </row>
    <row r="488" spans="1:6">
      <c r="A488" s="7"/>
      <c r="B488" s="8"/>
      <c r="C488" s="7"/>
      <c r="D488" s="7"/>
      <c r="E488" s="7"/>
      <c r="F488" s="7"/>
    </row>
    <row r="489" spans="1:6">
      <c r="A489" s="7"/>
      <c r="B489" s="8"/>
      <c r="C489" s="7"/>
      <c r="D489" s="7"/>
      <c r="E489" s="7"/>
      <c r="F489" s="7"/>
    </row>
    <row r="490" spans="1:6">
      <c r="A490" s="7"/>
      <c r="B490" s="8"/>
      <c r="C490" s="7"/>
      <c r="D490" s="7"/>
      <c r="E490" s="7"/>
      <c r="F490" s="7"/>
    </row>
    <row r="491" spans="1:6">
      <c r="A491" s="7"/>
      <c r="B491" s="8"/>
      <c r="C491" s="7"/>
      <c r="D491" s="7"/>
      <c r="E491" s="7"/>
      <c r="F491" s="7"/>
    </row>
    <row r="492" spans="1:6">
      <c r="A492" s="7"/>
      <c r="B492" s="8"/>
      <c r="C492" s="7"/>
      <c r="D492" s="7"/>
      <c r="E492" s="7"/>
      <c r="F492" s="7"/>
    </row>
    <row r="493" spans="1:6">
      <c r="A493" s="7"/>
      <c r="B493" s="8"/>
      <c r="C493" s="7"/>
      <c r="D493" s="7"/>
      <c r="E493" s="7"/>
      <c r="F493" s="7"/>
    </row>
    <row r="494" spans="1:6">
      <c r="A494" s="7"/>
      <c r="B494" s="8"/>
      <c r="C494" s="7"/>
      <c r="D494" s="7"/>
      <c r="E494" s="7"/>
      <c r="F494" s="7"/>
    </row>
    <row r="495" spans="1:6">
      <c r="A495" s="7"/>
      <c r="B495" s="8"/>
      <c r="C495" s="7"/>
      <c r="D495" s="7"/>
      <c r="E495" s="7"/>
      <c r="F495" s="7"/>
    </row>
    <row r="496" spans="1:6">
      <c r="A496" s="7"/>
      <c r="B496" s="8"/>
      <c r="C496" s="7"/>
      <c r="D496" s="7"/>
      <c r="E496" s="7"/>
      <c r="F496" s="7"/>
    </row>
    <row r="497" spans="1:6">
      <c r="A497" s="7"/>
      <c r="B497" s="8"/>
      <c r="C497" s="7"/>
      <c r="D497" s="7"/>
      <c r="E497" s="7"/>
      <c r="F497" s="7"/>
    </row>
    <row r="498" spans="1:6">
      <c r="A498" s="7"/>
      <c r="B498" s="8"/>
      <c r="C498" s="7"/>
      <c r="D498" s="7"/>
      <c r="E498" s="7"/>
      <c r="F498" s="7"/>
    </row>
    <row r="499" spans="1:6">
      <c r="A499" s="7"/>
      <c r="B499" s="8"/>
      <c r="C499" s="7"/>
      <c r="D499" s="7"/>
      <c r="E499" s="7"/>
      <c r="F499" s="7"/>
    </row>
    <row r="500" spans="1:6">
      <c r="A500" s="7"/>
      <c r="B500" s="8"/>
      <c r="C500" s="7"/>
      <c r="D500" s="7"/>
      <c r="E500" s="7"/>
      <c r="F500" s="7"/>
    </row>
    <row r="501" spans="1:6">
      <c r="A501" s="7"/>
      <c r="B501" s="8"/>
      <c r="C501" s="7"/>
      <c r="D501" s="7"/>
      <c r="E501" s="7"/>
      <c r="F501" s="7"/>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201"/>
  <sheetViews>
    <sheetView showGridLines="0" workbookViewId="0"/>
  </sheetViews>
  <sheetFormatPr defaultRowHeight="14.45"/>
  <cols>
    <col min="1" max="1" width="14" customWidth="1"/>
    <col min="2" max="2" width="40" customWidth="1"/>
    <col min="3" max="3" width="10" customWidth="1"/>
    <col min="4" max="4" width="20" customWidth="1"/>
    <col min="5" max="5" width="22" customWidth="1"/>
  </cols>
  <sheetData>
    <row r="1" spans="1:5">
      <c r="A1" s="3" t="s">
        <v>347</v>
      </c>
      <c r="B1" s="3" t="s">
        <v>343</v>
      </c>
      <c r="C1" s="3" t="s">
        <v>264</v>
      </c>
      <c r="D1" s="3" t="s">
        <v>348</v>
      </c>
      <c r="E1" s="3" t="s">
        <v>349</v>
      </c>
    </row>
    <row r="2" spans="1:5">
      <c r="A2" s="8"/>
      <c r="B2" s="7"/>
      <c r="C2" s="7"/>
      <c r="D2" s="7"/>
      <c r="E2" s="7"/>
    </row>
    <row r="3" spans="1:5">
      <c r="A3" s="8"/>
      <c r="B3" s="7"/>
      <c r="C3" s="7"/>
      <c r="D3" s="7"/>
      <c r="E3" s="7"/>
    </row>
    <row r="4" spans="1:5">
      <c r="A4" s="8"/>
      <c r="B4" s="7"/>
      <c r="C4" s="7"/>
      <c r="D4" s="7"/>
      <c r="E4" s="7"/>
    </row>
    <row r="5" spans="1:5">
      <c r="A5" s="8"/>
      <c r="B5" s="7"/>
      <c r="C5" s="7"/>
      <c r="D5" s="7"/>
      <c r="E5" s="7"/>
    </row>
    <row r="6" spans="1:5">
      <c r="A6" s="8"/>
      <c r="B6" s="7"/>
      <c r="C6" s="7"/>
      <c r="D6" s="7"/>
      <c r="E6" s="7"/>
    </row>
    <row r="7" spans="1:5">
      <c r="A7" s="8"/>
      <c r="B7" s="7"/>
      <c r="C7" s="7"/>
      <c r="D7" s="7"/>
      <c r="E7" s="7"/>
    </row>
    <row r="8" spans="1:5">
      <c r="A8" s="8"/>
      <c r="B8" s="7"/>
      <c r="C8" s="7"/>
      <c r="D8" s="7"/>
      <c r="E8" s="7"/>
    </row>
    <row r="9" spans="1:5">
      <c r="A9" s="8"/>
      <c r="B9" s="7"/>
      <c r="C9" s="7"/>
      <c r="D9" s="7"/>
      <c r="E9" s="7"/>
    </row>
    <row r="10" spans="1:5">
      <c r="A10" s="8"/>
      <c r="B10" s="7"/>
      <c r="C10" s="7"/>
      <c r="D10" s="7"/>
      <c r="E10" s="7"/>
    </row>
    <row r="11" spans="1:5">
      <c r="A11" s="8"/>
      <c r="B11" s="7"/>
      <c r="C11" s="7"/>
      <c r="D11" s="7"/>
      <c r="E11" s="7"/>
    </row>
    <row r="12" spans="1:5">
      <c r="A12" s="8"/>
      <c r="B12" s="7"/>
      <c r="C12" s="7"/>
      <c r="D12" s="7"/>
      <c r="E12" s="7"/>
    </row>
    <row r="13" spans="1:5">
      <c r="A13" s="8"/>
      <c r="B13" s="7"/>
      <c r="C13" s="7"/>
      <c r="D13" s="7"/>
      <c r="E13" s="7"/>
    </row>
    <row r="14" spans="1:5">
      <c r="A14" s="8"/>
      <c r="B14" s="7"/>
      <c r="C14" s="7"/>
      <c r="D14" s="7"/>
      <c r="E14" s="7"/>
    </row>
    <row r="15" spans="1:5">
      <c r="A15" s="8"/>
      <c r="B15" s="7"/>
      <c r="C15" s="7"/>
      <c r="D15" s="7"/>
      <c r="E15" s="7"/>
    </row>
    <row r="16" spans="1:5">
      <c r="A16" s="8"/>
      <c r="B16" s="7"/>
      <c r="C16" s="7"/>
      <c r="D16" s="7"/>
      <c r="E16" s="7"/>
    </row>
    <row r="17" spans="1:5">
      <c r="A17" s="8"/>
      <c r="B17" s="7"/>
      <c r="C17" s="7"/>
      <c r="D17" s="7"/>
      <c r="E17" s="7"/>
    </row>
    <row r="18" spans="1:5">
      <c r="A18" s="8"/>
      <c r="B18" s="7"/>
      <c r="C18" s="7"/>
      <c r="D18" s="7"/>
      <c r="E18" s="7"/>
    </row>
    <row r="19" spans="1:5">
      <c r="A19" s="8"/>
      <c r="B19" s="7"/>
      <c r="C19" s="7"/>
      <c r="D19" s="7"/>
      <c r="E19" s="7"/>
    </row>
    <row r="20" spans="1:5">
      <c r="A20" s="8"/>
      <c r="B20" s="7"/>
      <c r="C20" s="7"/>
      <c r="D20" s="7"/>
      <c r="E20" s="7"/>
    </row>
    <row r="21" spans="1:5">
      <c r="A21" s="8"/>
      <c r="B21" s="7"/>
      <c r="C21" s="7"/>
      <c r="D21" s="7"/>
      <c r="E21" s="7"/>
    </row>
    <row r="22" spans="1:5">
      <c r="A22" s="8"/>
      <c r="B22" s="7"/>
      <c r="C22" s="7"/>
      <c r="D22" s="7"/>
      <c r="E22" s="7"/>
    </row>
    <row r="23" spans="1:5">
      <c r="A23" s="8"/>
      <c r="B23" s="7"/>
      <c r="C23" s="7"/>
      <c r="D23" s="7"/>
      <c r="E23" s="7"/>
    </row>
    <row r="24" spans="1:5">
      <c r="A24" s="8"/>
      <c r="B24" s="7"/>
      <c r="C24" s="7"/>
      <c r="D24" s="7"/>
      <c r="E24" s="7"/>
    </row>
    <row r="25" spans="1:5">
      <c r="A25" s="8"/>
      <c r="B25" s="7"/>
      <c r="C25" s="7"/>
      <c r="D25" s="7"/>
      <c r="E25" s="7"/>
    </row>
    <row r="26" spans="1:5">
      <c r="A26" s="8"/>
      <c r="B26" s="7"/>
      <c r="C26" s="7"/>
      <c r="D26" s="7"/>
      <c r="E26" s="7"/>
    </row>
    <row r="27" spans="1:5">
      <c r="A27" s="8"/>
      <c r="B27" s="7"/>
      <c r="C27" s="7"/>
      <c r="D27" s="7"/>
      <c r="E27" s="7"/>
    </row>
    <row r="28" spans="1:5">
      <c r="A28" s="8"/>
      <c r="B28" s="7"/>
      <c r="C28" s="7"/>
      <c r="D28" s="7"/>
      <c r="E28" s="7"/>
    </row>
    <row r="29" spans="1:5">
      <c r="A29" s="8"/>
      <c r="B29" s="7"/>
      <c r="C29" s="7"/>
      <c r="D29" s="7"/>
      <c r="E29" s="7"/>
    </row>
    <row r="30" spans="1:5">
      <c r="A30" s="8"/>
      <c r="B30" s="7"/>
      <c r="C30" s="7"/>
      <c r="D30" s="7"/>
      <c r="E30" s="7"/>
    </row>
    <row r="31" spans="1:5">
      <c r="A31" s="8"/>
      <c r="B31" s="7"/>
      <c r="C31" s="7"/>
      <c r="D31" s="7"/>
      <c r="E31" s="7"/>
    </row>
    <row r="32" spans="1:5">
      <c r="A32" s="8"/>
      <c r="B32" s="7"/>
      <c r="C32" s="7"/>
      <c r="D32" s="7"/>
      <c r="E32" s="7"/>
    </row>
    <row r="33" spans="1:5">
      <c r="A33" s="8"/>
      <c r="B33" s="7"/>
      <c r="C33" s="7"/>
      <c r="D33" s="7"/>
      <c r="E33" s="7"/>
    </row>
    <row r="34" spans="1:5">
      <c r="A34" s="8"/>
      <c r="B34" s="7"/>
      <c r="C34" s="7"/>
      <c r="D34" s="7"/>
      <c r="E34" s="7"/>
    </row>
    <row r="35" spans="1:5">
      <c r="A35" s="8"/>
      <c r="B35" s="7"/>
      <c r="C35" s="7"/>
      <c r="D35" s="7"/>
      <c r="E35" s="7"/>
    </row>
    <row r="36" spans="1:5">
      <c r="A36" s="8"/>
      <c r="B36" s="7"/>
      <c r="C36" s="7"/>
      <c r="D36" s="7"/>
      <c r="E36" s="7"/>
    </row>
    <row r="37" spans="1:5">
      <c r="A37" s="8"/>
      <c r="B37" s="7"/>
      <c r="C37" s="7"/>
      <c r="D37" s="7"/>
      <c r="E37" s="7"/>
    </row>
    <row r="38" spans="1:5">
      <c r="A38" s="8"/>
      <c r="B38" s="7"/>
      <c r="C38" s="7"/>
      <c r="D38" s="7"/>
      <c r="E38" s="7"/>
    </row>
    <row r="39" spans="1:5">
      <c r="A39" s="8"/>
      <c r="B39" s="7"/>
      <c r="C39" s="7"/>
      <c r="D39" s="7"/>
      <c r="E39" s="7"/>
    </row>
    <row r="40" spans="1:5">
      <c r="A40" s="8"/>
      <c r="B40" s="7"/>
      <c r="C40" s="7"/>
      <c r="D40" s="7"/>
      <c r="E40" s="7"/>
    </row>
    <row r="41" spans="1:5">
      <c r="A41" s="8"/>
      <c r="B41" s="7"/>
      <c r="C41" s="7"/>
      <c r="D41" s="7"/>
      <c r="E41" s="7"/>
    </row>
    <row r="42" spans="1:5">
      <c r="A42" s="8"/>
      <c r="B42" s="7"/>
      <c r="C42" s="7"/>
      <c r="D42" s="7"/>
      <c r="E42" s="7"/>
    </row>
    <row r="43" spans="1:5">
      <c r="A43" s="8"/>
      <c r="B43" s="7"/>
      <c r="C43" s="7"/>
      <c r="D43" s="7"/>
      <c r="E43" s="7"/>
    </row>
    <row r="44" spans="1:5">
      <c r="A44" s="8"/>
      <c r="B44" s="7"/>
      <c r="C44" s="7"/>
      <c r="D44" s="7"/>
      <c r="E44" s="7"/>
    </row>
    <row r="45" spans="1:5">
      <c r="A45" s="8"/>
      <c r="B45" s="7"/>
      <c r="C45" s="7"/>
      <c r="D45" s="7"/>
      <c r="E45" s="7"/>
    </row>
    <row r="46" spans="1:5">
      <c r="A46" s="8"/>
      <c r="B46" s="7"/>
      <c r="C46" s="7"/>
      <c r="D46" s="7"/>
      <c r="E46" s="7"/>
    </row>
    <row r="47" spans="1:5">
      <c r="A47" s="8"/>
      <c r="B47" s="7"/>
      <c r="C47" s="7"/>
      <c r="D47" s="7"/>
      <c r="E47" s="7"/>
    </row>
    <row r="48" spans="1:5">
      <c r="A48" s="8"/>
      <c r="B48" s="7"/>
      <c r="C48" s="7"/>
      <c r="D48" s="7"/>
      <c r="E48" s="7"/>
    </row>
    <row r="49" spans="1:5">
      <c r="A49" s="8"/>
      <c r="B49" s="7"/>
      <c r="C49" s="7"/>
      <c r="D49" s="7"/>
      <c r="E49" s="7"/>
    </row>
    <row r="50" spans="1:5">
      <c r="A50" s="8"/>
      <c r="B50" s="7"/>
      <c r="C50" s="7"/>
      <c r="D50" s="7"/>
      <c r="E50" s="7"/>
    </row>
    <row r="51" spans="1:5">
      <c r="A51" s="8"/>
      <c r="B51" s="7"/>
      <c r="C51" s="7"/>
      <c r="D51" s="7"/>
      <c r="E51" s="7"/>
    </row>
    <row r="52" spans="1:5">
      <c r="A52" s="8"/>
      <c r="B52" s="7"/>
      <c r="C52" s="7"/>
      <c r="D52" s="7"/>
      <c r="E52" s="7"/>
    </row>
    <row r="53" spans="1:5">
      <c r="A53" s="8"/>
      <c r="B53" s="7"/>
      <c r="C53" s="7"/>
      <c r="D53" s="7"/>
      <c r="E53" s="7"/>
    </row>
    <row r="54" spans="1:5">
      <c r="A54" s="8"/>
      <c r="B54" s="7"/>
      <c r="C54" s="7"/>
      <c r="D54" s="7"/>
      <c r="E54" s="7"/>
    </row>
    <row r="55" spans="1:5">
      <c r="A55" s="8"/>
      <c r="B55" s="7"/>
      <c r="C55" s="7"/>
      <c r="D55" s="7"/>
      <c r="E55" s="7"/>
    </row>
    <row r="56" spans="1:5">
      <c r="A56" s="8"/>
      <c r="B56" s="7"/>
      <c r="C56" s="7"/>
      <c r="D56" s="7"/>
      <c r="E56" s="7"/>
    </row>
    <row r="57" spans="1:5">
      <c r="A57" s="8"/>
      <c r="B57" s="7"/>
      <c r="C57" s="7"/>
      <c r="D57" s="7"/>
      <c r="E57" s="7"/>
    </row>
    <row r="58" spans="1:5">
      <c r="A58" s="8"/>
      <c r="B58" s="7"/>
      <c r="C58" s="7"/>
      <c r="D58" s="7"/>
      <c r="E58" s="7"/>
    </row>
    <row r="59" spans="1:5">
      <c r="A59" s="8"/>
      <c r="B59" s="7"/>
      <c r="C59" s="7"/>
      <c r="D59" s="7"/>
      <c r="E59" s="7"/>
    </row>
    <row r="60" spans="1:5">
      <c r="A60" s="8"/>
      <c r="B60" s="7"/>
      <c r="C60" s="7"/>
      <c r="D60" s="7"/>
      <c r="E60" s="7"/>
    </row>
    <row r="61" spans="1:5">
      <c r="A61" s="8"/>
      <c r="B61" s="7"/>
      <c r="C61" s="7"/>
      <c r="D61" s="7"/>
      <c r="E61" s="7"/>
    </row>
    <row r="62" spans="1:5">
      <c r="A62" s="8"/>
      <c r="B62" s="7"/>
      <c r="C62" s="7"/>
      <c r="D62" s="7"/>
      <c r="E62" s="7"/>
    </row>
    <row r="63" spans="1:5">
      <c r="A63" s="8"/>
      <c r="B63" s="7"/>
      <c r="C63" s="7"/>
      <c r="D63" s="7"/>
      <c r="E63" s="7"/>
    </row>
    <row r="64" spans="1:5">
      <c r="A64" s="8"/>
      <c r="B64" s="7"/>
      <c r="C64" s="7"/>
      <c r="D64" s="7"/>
      <c r="E64" s="7"/>
    </row>
    <row r="65" spans="1:5">
      <c r="A65" s="8"/>
      <c r="B65" s="7"/>
      <c r="C65" s="7"/>
      <c r="D65" s="7"/>
      <c r="E65" s="7"/>
    </row>
    <row r="66" spans="1:5">
      <c r="A66" s="8"/>
      <c r="B66" s="7"/>
      <c r="C66" s="7"/>
      <c r="D66" s="7"/>
      <c r="E66" s="7"/>
    </row>
    <row r="67" spans="1:5">
      <c r="A67" s="8"/>
      <c r="B67" s="7"/>
      <c r="C67" s="7"/>
      <c r="D67" s="7"/>
      <c r="E67" s="7"/>
    </row>
    <row r="68" spans="1:5">
      <c r="A68" s="8"/>
      <c r="B68" s="7"/>
      <c r="C68" s="7"/>
      <c r="D68" s="7"/>
      <c r="E68" s="7"/>
    </row>
    <row r="69" spans="1:5">
      <c r="A69" s="8"/>
      <c r="B69" s="7"/>
      <c r="C69" s="7"/>
      <c r="D69" s="7"/>
      <c r="E69" s="7"/>
    </row>
    <row r="70" spans="1:5">
      <c r="A70" s="8"/>
      <c r="B70" s="7"/>
      <c r="C70" s="7"/>
      <c r="D70" s="7"/>
      <c r="E70" s="7"/>
    </row>
    <row r="71" spans="1:5">
      <c r="A71" s="8"/>
      <c r="B71" s="7"/>
      <c r="C71" s="7"/>
      <c r="D71" s="7"/>
      <c r="E71" s="7"/>
    </row>
    <row r="72" spans="1:5">
      <c r="A72" s="8"/>
      <c r="B72" s="7"/>
      <c r="C72" s="7"/>
      <c r="D72" s="7"/>
      <c r="E72" s="7"/>
    </row>
    <row r="73" spans="1:5">
      <c r="A73" s="8"/>
      <c r="B73" s="7"/>
      <c r="C73" s="7"/>
      <c r="D73" s="7"/>
      <c r="E73" s="7"/>
    </row>
    <row r="74" spans="1:5">
      <c r="A74" s="8"/>
      <c r="B74" s="7"/>
      <c r="C74" s="7"/>
      <c r="D74" s="7"/>
      <c r="E74" s="7"/>
    </row>
    <row r="75" spans="1:5">
      <c r="A75" s="8"/>
      <c r="B75" s="7"/>
      <c r="C75" s="7"/>
      <c r="D75" s="7"/>
      <c r="E75" s="7"/>
    </row>
    <row r="76" spans="1:5">
      <c r="A76" s="8"/>
      <c r="B76" s="7"/>
      <c r="C76" s="7"/>
      <c r="D76" s="7"/>
      <c r="E76" s="7"/>
    </row>
    <row r="77" spans="1:5">
      <c r="A77" s="8"/>
      <c r="B77" s="7"/>
      <c r="C77" s="7"/>
      <c r="D77" s="7"/>
      <c r="E77" s="7"/>
    </row>
    <row r="78" spans="1:5">
      <c r="A78" s="8"/>
      <c r="B78" s="7"/>
      <c r="C78" s="7"/>
      <c r="D78" s="7"/>
      <c r="E78" s="7"/>
    </row>
    <row r="79" spans="1:5">
      <c r="A79" s="8"/>
      <c r="B79" s="7"/>
      <c r="C79" s="7"/>
      <c r="D79" s="7"/>
      <c r="E79" s="7"/>
    </row>
    <row r="80" spans="1:5">
      <c r="A80" s="8"/>
      <c r="B80" s="7"/>
      <c r="C80" s="7"/>
      <c r="D80" s="7"/>
      <c r="E80" s="7"/>
    </row>
    <row r="81" spans="1:5">
      <c r="A81" s="8"/>
      <c r="B81" s="7"/>
      <c r="C81" s="7"/>
      <c r="D81" s="7"/>
      <c r="E81" s="7"/>
    </row>
    <row r="82" spans="1:5">
      <c r="A82" s="8"/>
      <c r="B82" s="7"/>
      <c r="C82" s="7"/>
      <c r="D82" s="7"/>
      <c r="E82" s="7"/>
    </row>
    <row r="83" spans="1:5">
      <c r="A83" s="8"/>
      <c r="B83" s="7"/>
      <c r="C83" s="7"/>
      <c r="D83" s="7"/>
      <c r="E83" s="7"/>
    </row>
    <row r="84" spans="1:5">
      <c r="A84" s="8"/>
      <c r="B84" s="7"/>
      <c r="C84" s="7"/>
      <c r="D84" s="7"/>
      <c r="E84" s="7"/>
    </row>
    <row r="85" spans="1:5">
      <c r="A85" s="8"/>
      <c r="B85" s="7"/>
      <c r="C85" s="7"/>
      <c r="D85" s="7"/>
      <c r="E85" s="7"/>
    </row>
    <row r="86" spans="1:5">
      <c r="A86" s="8"/>
      <c r="B86" s="7"/>
      <c r="C86" s="7"/>
      <c r="D86" s="7"/>
      <c r="E86" s="7"/>
    </row>
    <row r="87" spans="1:5">
      <c r="A87" s="8"/>
      <c r="B87" s="7"/>
      <c r="C87" s="7"/>
      <c r="D87" s="7"/>
      <c r="E87" s="7"/>
    </row>
    <row r="88" spans="1:5">
      <c r="A88" s="8"/>
      <c r="B88" s="7"/>
      <c r="C88" s="7"/>
      <c r="D88" s="7"/>
      <c r="E88" s="7"/>
    </row>
    <row r="89" spans="1:5">
      <c r="A89" s="8"/>
      <c r="B89" s="7"/>
      <c r="C89" s="7"/>
      <c r="D89" s="7"/>
      <c r="E89" s="7"/>
    </row>
    <row r="90" spans="1:5">
      <c r="A90" s="8"/>
      <c r="B90" s="7"/>
      <c r="C90" s="7"/>
      <c r="D90" s="7"/>
      <c r="E90" s="7"/>
    </row>
    <row r="91" spans="1:5">
      <c r="A91" s="8"/>
      <c r="B91" s="7"/>
      <c r="C91" s="7"/>
      <c r="D91" s="7"/>
      <c r="E91" s="7"/>
    </row>
    <row r="92" spans="1:5">
      <c r="A92" s="8"/>
      <c r="B92" s="7"/>
      <c r="C92" s="7"/>
      <c r="D92" s="7"/>
      <c r="E92" s="7"/>
    </row>
    <row r="93" spans="1:5">
      <c r="A93" s="8"/>
      <c r="B93" s="7"/>
      <c r="C93" s="7"/>
      <c r="D93" s="7"/>
      <c r="E93" s="7"/>
    </row>
    <row r="94" spans="1:5">
      <c r="A94" s="8"/>
      <c r="B94" s="7"/>
      <c r="C94" s="7"/>
      <c r="D94" s="7"/>
      <c r="E94" s="7"/>
    </row>
    <row r="95" spans="1:5">
      <c r="A95" s="8"/>
      <c r="B95" s="7"/>
      <c r="C95" s="7"/>
      <c r="D95" s="7"/>
      <c r="E95" s="7"/>
    </row>
    <row r="96" spans="1:5">
      <c r="A96" s="8"/>
      <c r="B96" s="7"/>
      <c r="C96" s="7"/>
      <c r="D96" s="7"/>
      <c r="E96" s="7"/>
    </row>
    <row r="97" spans="1:5">
      <c r="A97" s="8"/>
      <c r="B97" s="7"/>
      <c r="C97" s="7"/>
      <c r="D97" s="7"/>
      <c r="E97" s="7"/>
    </row>
    <row r="98" spans="1:5">
      <c r="A98" s="8"/>
      <c r="B98" s="7"/>
      <c r="C98" s="7"/>
      <c r="D98" s="7"/>
      <c r="E98" s="7"/>
    </row>
    <row r="99" spans="1:5">
      <c r="A99" s="8"/>
      <c r="B99" s="7"/>
      <c r="C99" s="7"/>
      <c r="D99" s="7"/>
      <c r="E99" s="7"/>
    </row>
    <row r="100" spans="1:5">
      <c r="A100" s="8"/>
      <c r="B100" s="7"/>
      <c r="C100" s="7"/>
      <c r="D100" s="7"/>
      <c r="E100" s="7"/>
    </row>
    <row r="101" spans="1:5">
      <c r="A101" s="8"/>
      <c r="B101" s="7"/>
      <c r="C101" s="7"/>
      <c r="D101" s="7"/>
      <c r="E101" s="7"/>
    </row>
    <row r="102" spans="1:5">
      <c r="A102" s="8"/>
      <c r="B102" s="7"/>
      <c r="C102" s="7"/>
      <c r="D102" s="7"/>
      <c r="E102" s="7"/>
    </row>
    <row r="103" spans="1:5">
      <c r="A103" s="8"/>
      <c r="B103" s="7"/>
      <c r="C103" s="7"/>
      <c r="D103" s="7"/>
      <c r="E103" s="7"/>
    </row>
    <row r="104" spans="1:5">
      <c r="A104" s="8"/>
      <c r="B104" s="7"/>
      <c r="C104" s="7"/>
      <c r="D104" s="7"/>
      <c r="E104" s="7"/>
    </row>
    <row r="105" spans="1:5">
      <c r="A105" s="8"/>
      <c r="B105" s="7"/>
      <c r="C105" s="7"/>
      <c r="D105" s="7"/>
      <c r="E105" s="7"/>
    </row>
    <row r="106" spans="1:5">
      <c r="A106" s="8"/>
      <c r="B106" s="7"/>
      <c r="C106" s="7"/>
      <c r="D106" s="7"/>
      <c r="E106" s="7"/>
    </row>
    <row r="107" spans="1:5">
      <c r="A107" s="8"/>
      <c r="B107" s="7"/>
      <c r="C107" s="7"/>
      <c r="D107" s="7"/>
      <c r="E107" s="7"/>
    </row>
    <row r="108" spans="1:5">
      <c r="A108" s="8"/>
      <c r="B108" s="7"/>
      <c r="C108" s="7"/>
      <c r="D108" s="7"/>
      <c r="E108" s="7"/>
    </row>
    <row r="109" spans="1:5">
      <c r="A109" s="8"/>
      <c r="B109" s="7"/>
      <c r="C109" s="7"/>
      <c r="D109" s="7"/>
      <c r="E109" s="7"/>
    </row>
    <row r="110" spans="1:5">
      <c r="A110" s="8"/>
      <c r="B110" s="7"/>
      <c r="C110" s="7"/>
      <c r="D110" s="7"/>
      <c r="E110" s="7"/>
    </row>
    <row r="111" spans="1:5">
      <c r="A111" s="8"/>
      <c r="B111" s="7"/>
      <c r="C111" s="7"/>
      <c r="D111" s="7"/>
      <c r="E111" s="7"/>
    </row>
    <row r="112" spans="1:5">
      <c r="A112" s="8"/>
      <c r="B112" s="7"/>
      <c r="C112" s="7"/>
      <c r="D112" s="7"/>
      <c r="E112" s="7"/>
    </row>
    <row r="113" spans="1:5">
      <c r="A113" s="8"/>
      <c r="B113" s="7"/>
      <c r="C113" s="7"/>
      <c r="D113" s="7"/>
      <c r="E113" s="7"/>
    </row>
    <row r="114" spans="1:5">
      <c r="A114" s="8"/>
      <c r="B114" s="7"/>
      <c r="C114" s="7"/>
      <c r="D114" s="7"/>
      <c r="E114" s="7"/>
    </row>
    <row r="115" spans="1:5">
      <c r="A115" s="8"/>
      <c r="B115" s="7"/>
      <c r="C115" s="7"/>
      <c r="D115" s="7"/>
      <c r="E115" s="7"/>
    </row>
    <row r="116" spans="1:5">
      <c r="A116" s="8"/>
      <c r="B116" s="7"/>
      <c r="C116" s="7"/>
      <c r="D116" s="7"/>
      <c r="E116" s="7"/>
    </row>
    <row r="117" spans="1:5">
      <c r="A117" s="8"/>
      <c r="B117" s="7"/>
      <c r="C117" s="7"/>
      <c r="D117" s="7"/>
      <c r="E117" s="7"/>
    </row>
    <row r="118" spans="1:5">
      <c r="A118" s="8"/>
      <c r="B118" s="7"/>
      <c r="C118" s="7"/>
      <c r="D118" s="7"/>
      <c r="E118" s="7"/>
    </row>
    <row r="119" spans="1:5">
      <c r="A119" s="8"/>
      <c r="B119" s="7"/>
      <c r="C119" s="7"/>
      <c r="D119" s="7"/>
      <c r="E119" s="7"/>
    </row>
    <row r="120" spans="1:5">
      <c r="A120" s="8"/>
      <c r="B120" s="7"/>
      <c r="C120" s="7"/>
      <c r="D120" s="7"/>
      <c r="E120" s="7"/>
    </row>
    <row r="121" spans="1:5">
      <c r="A121" s="8"/>
      <c r="B121" s="7"/>
      <c r="C121" s="7"/>
      <c r="D121" s="7"/>
      <c r="E121" s="7"/>
    </row>
    <row r="122" spans="1:5">
      <c r="A122" s="8"/>
      <c r="B122" s="7"/>
      <c r="C122" s="7"/>
      <c r="D122" s="7"/>
      <c r="E122" s="7"/>
    </row>
    <row r="123" spans="1:5">
      <c r="A123" s="8"/>
      <c r="B123" s="7"/>
      <c r="C123" s="7"/>
      <c r="D123" s="7"/>
      <c r="E123" s="7"/>
    </row>
    <row r="124" spans="1:5">
      <c r="A124" s="8"/>
      <c r="B124" s="7"/>
      <c r="C124" s="7"/>
      <c r="D124" s="7"/>
      <c r="E124" s="7"/>
    </row>
    <row r="125" spans="1:5">
      <c r="A125" s="8"/>
      <c r="B125" s="7"/>
      <c r="C125" s="7"/>
      <c r="D125" s="7"/>
      <c r="E125" s="7"/>
    </row>
    <row r="126" spans="1:5">
      <c r="A126" s="8"/>
      <c r="B126" s="7"/>
      <c r="C126" s="7"/>
      <c r="D126" s="7"/>
      <c r="E126" s="7"/>
    </row>
    <row r="127" spans="1:5">
      <c r="A127" s="8"/>
      <c r="B127" s="7"/>
      <c r="C127" s="7"/>
      <c r="D127" s="7"/>
      <c r="E127" s="7"/>
    </row>
    <row r="128" spans="1:5">
      <c r="A128" s="8"/>
      <c r="B128" s="7"/>
      <c r="C128" s="7"/>
      <c r="D128" s="7"/>
      <c r="E128" s="7"/>
    </row>
    <row r="129" spans="1:5">
      <c r="A129" s="8"/>
      <c r="B129" s="7"/>
      <c r="C129" s="7"/>
      <c r="D129" s="7"/>
      <c r="E129" s="7"/>
    </row>
    <row r="130" spans="1:5">
      <c r="A130" s="8"/>
      <c r="B130" s="7"/>
      <c r="C130" s="7"/>
      <c r="D130" s="7"/>
      <c r="E130" s="7"/>
    </row>
    <row r="131" spans="1:5">
      <c r="A131" s="8"/>
      <c r="B131" s="7"/>
      <c r="C131" s="7"/>
      <c r="D131" s="7"/>
      <c r="E131" s="7"/>
    </row>
    <row r="132" spans="1:5">
      <c r="A132" s="8"/>
      <c r="B132" s="7"/>
      <c r="C132" s="7"/>
      <c r="D132" s="7"/>
      <c r="E132" s="7"/>
    </row>
    <row r="133" spans="1:5">
      <c r="A133" s="8"/>
      <c r="B133" s="7"/>
      <c r="C133" s="7"/>
      <c r="D133" s="7"/>
      <c r="E133" s="7"/>
    </row>
    <row r="134" spans="1:5">
      <c r="A134" s="8"/>
      <c r="B134" s="7"/>
      <c r="C134" s="7"/>
      <c r="D134" s="7"/>
      <c r="E134" s="7"/>
    </row>
    <row r="135" spans="1:5">
      <c r="A135" s="8"/>
      <c r="B135" s="7"/>
      <c r="C135" s="7"/>
      <c r="D135" s="7"/>
      <c r="E135" s="7"/>
    </row>
    <row r="136" spans="1:5">
      <c r="A136" s="8"/>
      <c r="B136" s="7"/>
      <c r="C136" s="7"/>
      <c r="D136" s="7"/>
      <c r="E136" s="7"/>
    </row>
    <row r="137" spans="1:5">
      <c r="A137" s="8"/>
      <c r="B137" s="7"/>
      <c r="C137" s="7"/>
      <c r="D137" s="7"/>
      <c r="E137" s="7"/>
    </row>
    <row r="138" spans="1:5">
      <c r="A138" s="8"/>
      <c r="B138" s="7"/>
      <c r="C138" s="7"/>
      <c r="D138" s="7"/>
      <c r="E138" s="7"/>
    </row>
    <row r="139" spans="1:5">
      <c r="A139" s="8"/>
      <c r="B139" s="7"/>
      <c r="C139" s="7"/>
      <c r="D139" s="7"/>
      <c r="E139" s="7"/>
    </row>
    <row r="140" spans="1:5">
      <c r="A140" s="8"/>
      <c r="B140" s="7"/>
      <c r="C140" s="7"/>
      <c r="D140" s="7"/>
      <c r="E140" s="7"/>
    </row>
    <row r="141" spans="1:5">
      <c r="A141" s="8"/>
      <c r="B141" s="7"/>
      <c r="C141" s="7"/>
      <c r="D141" s="7"/>
      <c r="E141" s="7"/>
    </row>
    <row r="142" spans="1:5">
      <c r="A142" s="8"/>
      <c r="B142" s="7"/>
      <c r="C142" s="7"/>
      <c r="D142" s="7"/>
      <c r="E142" s="7"/>
    </row>
    <row r="143" spans="1:5">
      <c r="A143" s="8"/>
      <c r="B143" s="7"/>
      <c r="C143" s="7"/>
      <c r="D143" s="7"/>
      <c r="E143" s="7"/>
    </row>
    <row r="144" spans="1:5">
      <c r="A144" s="8"/>
      <c r="B144" s="7"/>
      <c r="C144" s="7"/>
      <c r="D144" s="7"/>
      <c r="E144" s="7"/>
    </row>
    <row r="145" spans="1:5">
      <c r="A145" s="8"/>
      <c r="B145" s="7"/>
      <c r="C145" s="7"/>
      <c r="D145" s="7"/>
      <c r="E145" s="7"/>
    </row>
    <row r="146" spans="1:5">
      <c r="A146" s="8"/>
      <c r="B146" s="7"/>
      <c r="C146" s="7"/>
      <c r="D146" s="7"/>
      <c r="E146" s="7"/>
    </row>
    <row r="147" spans="1:5">
      <c r="A147" s="8"/>
      <c r="B147" s="7"/>
      <c r="C147" s="7"/>
      <c r="D147" s="7"/>
      <c r="E147" s="7"/>
    </row>
    <row r="148" spans="1:5">
      <c r="A148" s="8"/>
      <c r="B148" s="7"/>
      <c r="C148" s="7"/>
      <c r="D148" s="7"/>
      <c r="E148" s="7"/>
    </row>
    <row r="149" spans="1:5">
      <c r="A149" s="8"/>
      <c r="B149" s="7"/>
      <c r="C149" s="7"/>
      <c r="D149" s="7"/>
      <c r="E149" s="7"/>
    </row>
    <row r="150" spans="1:5">
      <c r="A150" s="8"/>
      <c r="B150" s="7"/>
      <c r="C150" s="7"/>
      <c r="D150" s="7"/>
      <c r="E150" s="7"/>
    </row>
    <row r="151" spans="1:5">
      <c r="A151" s="8"/>
      <c r="B151" s="7"/>
      <c r="C151" s="7"/>
      <c r="D151" s="7"/>
      <c r="E151" s="7"/>
    </row>
    <row r="152" spans="1:5">
      <c r="A152" s="8"/>
      <c r="B152" s="7"/>
      <c r="C152" s="7"/>
      <c r="D152" s="7"/>
      <c r="E152" s="7"/>
    </row>
    <row r="153" spans="1:5">
      <c r="A153" s="8"/>
      <c r="B153" s="7"/>
      <c r="C153" s="7"/>
      <c r="D153" s="7"/>
      <c r="E153" s="7"/>
    </row>
    <row r="154" spans="1:5">
      <c r="A154" s="8"/>
      <c r="B154" s="7"/>
      <c r="C154" s="7"/>
      <c r="D154" s="7"/>
      <c r="E154" s="7"/>
    </row>
    <row r="155" spans="1:5">
      <c r="A155" s="8"/>
      <c r="B155" s="7"/>
      <c r="C155" s="7"/>
      <c r="D155" s="7"/>
      <c r="E155" s="7"/>
    </row>
    <row r="156" spans="1:5">
      <c r="A156" s="8"/>
      <c r="B156" s="7"/>
      <c r="C156" s="7"/>
      <c r="D156" s="7"/>
      <c r="E156" s="7"/>
    </row>
    <row r="157" spans="1:5">
      <c r="A157" s="8"/>
      <c r="B157" s="7"/>
      <c r="C157" s="7"/>
      <c r="D157" s="7"/>
      <c r="E157" s="7"/>
    </row>
    <row r="158" spans="1:5">
      <c r="A158" s="8"/>
      <c r="B158" s="7"/>
      <c r="C158" s="7"/>
      <c r="D158" s="7"/>
      <c r="E158" s="7"/>
    </row>
    <row r="159" spans="1:5">
      <c r="A159" s="8"/>
      <c r="B159" s="7"/>
      <c r="C159" s="7"/>
      <c r="D159" s="7"/>
      <c r="E159" s="7"/>
    </row>
    <row r="160" spans="1:5">
      <c r="A160" s="8"/>
      <c r="B160" s="7"/>
      <c r="C160" s="7"/>
      <c r="D160" s="7"/>
      <c r="E160" s="7"/>
    </row>
    <row r="161" spans="1:5">
      <c r="A161" s="8"/>
      <c r="B161" s="7"/>
      <c r="C161" s="7"/>
      <c r="D161" s="7"/>
      <c r="E161" s="7"/>
    </row>
    <row r="162" spans="1:5">
      <c r="A162" s="8"/>
      <c r="B162" s="7"/>
      <c r="C162" s="7"/>
      <c r="D162" s="7"/>
      <c r="E162" s="7"/>
    </row>
    <row r="163" spans="1:5">
      <c r="A163" s="8"/>
      <c r="B163" s="7"/>
      <c r="C163" s="7"/>
      <c r="D163" s="7"/>
      <c r="E163" s="7"/>
    </row>
    <row r="164" spans="1:5">
      <c r="A164" s="8"/>
      <c r="B164" s="7"/>
      <c r="C164" s="7"/>
      <c r="D164" s="7"/>
      <c r="E164" s="7"/>
    </row>
    <row r="165" spans="1:5">
      <c r="A165" s="8"/>
      <c r="B165" s="7"/>
      <c r="C165" s="7"/>
      <c r="D165" s="7"/>
      <c r="E165" s="7"/>
    </row>
    <row r="166" spans="1:5">
      <c r="A166" s="8"/>
      <c r="B166" s="7"/>
      <c r="C166" s="7"/>
      <c r="D166" s="7"/>
      <c r="E166" s="7"/>
    </row>
    <row r="167" spans="1:5">
      <c r="A167" s="8"/>
      <c r="B167" s="7"/>
      <c r="C167" s="7"/>
      <c r="D167" s="7"/>
      <c r="E167" s="7"/>
    </row>
    <row r="168" spans="1:5">
      <c r="A168" s="8"/>
      <c r="B168" s="7"/>
      <c r="C168" s="7"/>
      <c r="D168" s="7"/>
      <c r="E168" s="7"/>
    </row>
    <row r="169" spans="1:5">
      <c r="A169" s="8"/>
      <c r="B169" s="7"/>
      <c r="C169" s="7"/>
      <c r="D169" s="7"/>
      <c r="E169" s="7"/>
    </row>
    <row r="170" spans="1:5">
      <c r="A170" s="8"/>
      <c r="B170" s="7"/>
      <c r="C170" s="7"/>
      <c r="D170" s="7"/>
      <c r="E170" s="7"/>
    </row>
    <row r="171" spans="1:5">
      <c r="A171" s="8"/>
      <c r="B171" s="7"/>
      <c r="C171" s="7"/>
      <c r="D171" s="7"/>
      <c r="E171" s="7"/>
    </row>
    <row r="172" spans="1:5">
      <c r="A172" s="8"/>
      <c r="B172" s="7"/>
      <c r="C172" s="7"/>
      <c r="D172" s="7"/>
      <c r="E172" s="7"/>
    </row>
    <row r="173" spans="1:5">
      <c r="A173" s="8"/>
      <c r="B173" s="7"/>
      <c r="C173" s="7"/>
      <c r="D173" s="7"/>
      <c r="E173" s="7"/>
    </row>
    <row r="174" spans="1:5">
      <c r="A174" s="8"/>
      <c r="B174" s="7"/>
      <c r="C174" s="7"/>
      <c r="D174" s="7"/>
      <c r="E174" s="7"/>
    </row>
    <row r="175" spans="1:5">
      <c r="A175" s="8"/>
      <c r="B175" s="7"/>
      <c r="C175" s="7"/>
      <c r="D175" s="7"/>
      <c r="E175" s="7"/>
    </row>
    <row r="176" spans="1:5">
      <c r="A176" s="8"/>
      <c r="B176" s="7"/>
      <c r="C176" s="7"/>
      <c r="D176" s="7"/>
      <c r="E176" s="7"/>
    </row>
    <row r="177" spans="1:5">
      <c r="A177" s="8"/>
      <c r="B177" s="7"/>
      <c r="C177" s="7"/>
      <c r="D177" s="7"/>
      <c r="E177" s="7"/>
    </row>
    <row r="178" spans="1:5">
      <c r="A178" s="8"/>
      <c r="B178" s="7"/>
      <c r="C178" s="7"/>
      <c r="D178" s="7"/>
      <c r="E178" s="7"/>
    </row>
    <row r="179" spans="1:5">
      <c r="A179" s="8"/>
      <c r="B179" s="7"/>
      <c r="C179" s="7"/>
      <c r="D179" s="7"/>
      <c r="E179" s="7"/>
    </row>
    <row r="180" spans="1:5">
      <c r="A180" s="8"/>
      <c r="B180" s="7"/>
      <c r="C180" s="7"/>
      <c r="D180" s="7"/>
      <c r="E180" s="7"/>
    </row>
    <row r="181" spans="1:5">
      <c r="A181" s="8"/>
      <c r="B181" s="7"/>
      <c r="C181" s="7"/>
      <c r="D181" s="7"/>
      <c r="E181" s="7"/>
    </row>
    <row r="182" spans="1:5">
      <c r="A182" s="8"/>
      <c r="B182" s="7"/>
      <c r="C182" s="7"/>
      <c r="D182" s="7"/>
      <c r="E182" s="7"/>
    </row>
    <row r="183" spans="1:5">
      <c r="A183" s="8"/>
      <c r="B183" s="7"/>
      <c r="C183" s="7"/>
      <c r="D183" s="7"/>
      <c r="E183" s="7"/>
    </row>
    <row r="184" spans="1:5">
      <c r="A184" s="8"/>
      <c r="B184" s="7"/>
      <c r="C184" s="7"/>
      <c r="D184" s="7"/>
      <c r="E184" s="7"/>
    </row>
    <row r="185" spans="1:5">
      <c r="A185" s="8"/>
      <c r="B185" s="7"/>
      <c r="C185" s="7"/>
      <c r="D185" s="7"/>
      <c r="E185" s="7"/>
    </row>
    <row r="186" spans="1:5">
      <c r="A186" s="8"/>
      <c r="B186" s="7"/>
      <c r="C186" s="7"/>
      <c r="D186" s="7"/>
      <c r="E186" s="7"/>
    </row>
    <row r="187" spans="1:5">
      <c r="A187" s="8"/>
      <c r="B187" s="7"/>
      <c r="C187" s="7"/>
      <c r="D187" s="7"/>
      <c r="E187" s="7"/>
    </row>
    <row r="188" spans="1:5">
      <c r="A188" s="8"/>
      <c r="B188" s="7"/>
      <c r="C188" s="7"/>
      <c r="D188" s="7"/>
      <c r="E188" s="7"/>
    </row>
    <row r="189" spans="1:5">
      <c r="A189" s="8"/>
      <c r="B189" s="7"/>
      <c r="C189" s="7"/>
      <c r="D189" s="7"/>
      <c r="E189" s="7"/>
    </row>
    <row r="190" spans="1:5">
      <c r="A190" s="8"/>
      <c r="B190" s="7"/>
      <c r="C190" s="7"/>
      <c r="D190" s="7"/>
      <c r="E190" s="7"/>
    </row>
    <row r="191" spans="1:5">
      <c r="A191" s="8"/>
      <c r="B191" s="7"/>
      <c r="C191" s="7"/>
      <c r="D191" s="7"/>
      <c r="E191" s="7"/>
    </row>
    <row r="192" spans="1:5">
      <c r="A192" s="8"/>
      <c r="B192" s="7"/>
      <c r="C192" s="7"/>
      <c r="D192" s="7"/>
      <c r="E192" s="7"/>
    </row>
    <row r="193" spans="1:5">
      <c r="A193" s="8"/>
      <c r="B193" s="7"/>
      <c r="C193" s="7"/>
      <c r="D193" s="7"/>
      <c r="E193" s="7"/>
    </row>
    <row r="194" spans="1:5">
      <c r="A194" s="8"/>
      <c r="B194" s="7"/>
      <c r="C194" s="7"/>
      <c r="D194" s="7"/>
      <c r="E194" s="7"/>
    </row>
    <row r="195" spans="1:5">
      <c r="A195" s="8"/>
      <c r="B195" s="7"/>
      <c r="C195" s="7"/>
      <c r="D195" s="7"/>
      <c r="E195" s="7"/>
    </row>
    <row r="196" spans="1:5">
      <c r="A196" s="8"/>
      <c r="B196" s="7"/>
      <c r="C196" s="7"/>
      <c r="D196" s="7"/>
      <c r="E196" s="7"/>
    </row>
    <row r="197" spans="1:5">
      <c r="A197" s="8"/>
      <c r="B197" s="7"/>
      <c r="C197" s="7"/>
      <c r="D197" s="7"/>
      <c r="E197" s="7"/>
    </row>
    <row r="198" spans="1:5">
      <c r="A198" s="8"/>
      <c r="B198" s="7"/>
      <c r="C198" s="7"/>
      <c r="D198" s="7"/>
      <c r="E198" s="7"/>
    </row>
    <row r="199" spans="1:5">
      <c r="A199" s="8"/>
      <c r="B199" s="7"/>
      <c r="C199" s="7"/>
      <c r="D199" s="7"/>
      <c r="E199" s="7"/>
    </row>
    <row r="200" spans="1:5">
      <c r="A200" s="8"/>
      <c r="B200" s="7"/>
      <c r="C200" s="7"/>
      <c r="D200" s="7"/>
      <c r="E200" s="7"/>
    </row>
    <row r="201" spans="1:5">
      <c r="A201" s="8"/>
      <c r="B201" s="7"/>
      <c r="C201" s="7"/>
      <c r="D201" s="7"/>
      <c r="E201" s="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8"/>
  <sheetViews>
    <sheetView showGridLines="0" workbookViewId="0"/>
  </sheetViews>
  <sheetFormatPr defaultRowHeight="14.45"/>
  <cols>
    <col min="1" max="1" width="55" customWidth="1"/>
    <col min="2" max="2" width="90" customWidth="1"/>
  </cols>
  <sheetData>
    <row r="1" spans="1:2">
      <c r="A1" s="3" t="s">
        <v>350</v>
      </c>
      <c r="B1" s="3" t="s">
        <v>351</v>
      </c>
    </row>
    <row r="2" spans="1:2">
      <c r="A2" s="6"/>
      <c r="B2" s="7"/>
    </row>
    <row r="3" spans="1:2">
      <c r="A3" s="6" t="s">
        <v>352</v>
      </c>
      <c r="B3" s="7" t="s">
        <v>67</v>
      </c>
    </row>
    <row r="4" spans="1:2">
      <c r="A4" s="6" t="s">
        <v>353</v>
      </c>
      <c r="B4" s="7" t="s">
        <v>67</v>
      </c>
    </row>
    <row r="5" spans="1:2">
      <c r="A5" s="6" t="s">
        <v>354</v>
      </c>
      <c r="B5" s="7" t="s">
        <v>67</v>
      </c>
    </row>
    <row r="6" spans="1:2">
      <c r="A6" s="6" t="s">
        <v>355</v>
      </c>
      <c r="B6" s="7" t="s">
        <v>67</v>
      </c>
    </row>
    <row r="7" spans="1:2" ht="28.9">
      <c r="A7" s="6" t="s">
        <v>356</v>
      </c>
      <c r="B7" s="7" t="s">
        <v>67</v>
      </c>
    </row>
    <row r="8" spans="1:2">
      <c r="A8" t="s">
        <v>357</v>
      </c>
      <c r="B8" t="s">
        <v>67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c4fce45-ff60-491f-97b2-6e5b680486b4">
      <Terms xmlns="http://schemas.microsoft.com/office/infopath/2007/PartnerControls"/>
    </lcf76f155ced4ddcb4097134ff3c332f>
    <TaxCatchAll xmlns="d7b065f4-e35b-4ad2-849c-208f78a44cb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5A8E2A526235B429C8B8B8587790F80" ma:contentTypeVersion="14" ma:contentTypeDescription="Een nieuw document maken." ma:contentTypeScope="" ma:versionID="5a7200c20e566fa99b09870f6356e3c0">
  <xsd:schema xmlns:xsd="http://www.w3.org/2001/XMLSchema" xmlns:xs="http://www.w3.org/2001/XMLSchema" xmlns:p="http://schemas.microsoft.com/office/2006/metadata/properties" xmlns:ns2="0c4fce45-ff60-491f-97b2-6e5b680486b4" xmlns:ns3="d7b065f4-e35b-4ad2-849c-208f78a44cb6" targetNamespace="http://schemas.microsoft.com/office/2006/metadata/properties" ma:root="true" ma:fieldsID="df3b432c07de55adb2aa950faadef79e" ns2:_="" ns3:_="">
    <xsd:import namespace="0c4fce45-ff60-491f-97b2-6e5b680486b4"/>
    <xsd:import namespace="d7b065f4-e35b-4ad2-849c-208f78a44cb6"/>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LengthInSeconds"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4fce45-ff60-491f-97b2-6e5b680486b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Afbeeldingtags" ma:readOnly="false" ma:fieldId="{5cf76f15-5ced-4ddc-b409-7134ff3c332f}" ma:taxonomyMulti="true" ma:sspId="32d39682-ccf7-48d8-962f-2ca2d3d56b7f"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7b065f4-e35b-4ad2-849c-208f78a44cb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2b798429-403a-4228-a125-87c65f688db7}" ma:internalName="TaxCatchAll" ma:showField="CatchAllData" ma:web="d7b065f4-e35b-4ad2-849c-208f78a44cb6">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Gedeeld met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9038A63-BED7-4287-9136-66B6307B628B}"/>
</file>

<file path=customXml/itemProps2.xml><?xml version="1.0" encoding="utf-8"?>
<ds:datastoreItem xmlns:ds="http://schemas.openxmlformats.org/officeDocument/2006/customXml" ds:itemID="{D4C2A74B-3659-42B1-85A3-A30DF2B4655E}"/>
</file>

<file path=customXml/itemProps3.xml><?xml version="1.0" encoding="utf-8"?>
<ds:datastoreItem xmlns:ds="http://schemas.openxmlformats.org/officeDocument/2006/customXml" ds:itemID="{26D5E500-0BB6-4A6B-96FA-B6737E76402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Wicky Ramrattan</dc:creator>
  <cp:keywords/>
  <dc:description/>
  <cp:lastModifiedBy/>
  <cp:revision/>
  <dcterms:created xsi:type="dcterms:W3CDTF">2026-01-12T17:20:21Z</dcterms:created>
  <dcterms:modified xsi:type="dcterms:W3CDTF">2026-02-19T14:42:56Z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0x01010075A8E2A526235B429C8B8B8587790F80</vt:lpwstr>
  </property>
  <property fmtid="{D5CDD505-2E9C-101B-9397-08002B2CF9AE}" pid="3" name="MediaServiceImageTags">
    <vt:lpwstr/>
  </property>
</Properties>
</file>